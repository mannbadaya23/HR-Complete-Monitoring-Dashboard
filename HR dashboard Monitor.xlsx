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Users\khand\OneDrive\Desktop\Excel Projetcs\"/>
    </mc:Choice>
  </mc:AlternateContent>
  <xr:revisionPtr revIDLastSave="0" documentId="8_{A92E72B1-D57F-4077-B009-F033CC7CFC4E}" xr6:coauthVersionLast="47" xr6:coauthVersionMax="47" xr10:uidLastSave="{00000000-0000-0000-0000-000000000000}"/>
  <bookViews>
    <workbookView xWindow="-120" yWindow="-120" windowWidth="29040" windowHeight="15720" activeTab="1" xr2:uid="{408BA6AB-5196-496B-9C80-B057CC378CDA}"/>
  </bookViews>
  <sheets>
    <sheet name="Sheet1" sheetId="1" r:id="rId1"/>
    <sheet name="Dashboard" sheetId="2" r:id="rId2"/>
    <sheet name="Pivot tables" sheetId="3" r:id="rId3"/>
  </sheets>
  <definedNames>
    <definedName name="Slicer_Department">#N/A</definedName>
    <definedName name="Slicer_Gender">#N/A</definedName>
  </definedNames>
  <calcPr calcId="191029"/>
  <pivotCaches>
    <pivotCache cacheId="1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6" i="3" l="1"/>
  <c r="Z15" i="3"/>
  <c r="Z14" i="3"/>
  <c r="Z13" i="3"/>
  <c r="Z12" i="3"/>
  <c r="W16" i="3"/>
  <c r="W15" i="3"/>
  <c r="W14" i="3"/>
  <c r="W13" i="3"/>
  <c r="W12" i="3"/>
  <c r="G17" i="3"/>
  <c r="G16" i="3"/>
  <c r="G15" i="3"/>
  <c r="G14" i="3"/>
  <c r="G13" i="3"/>
  <c r="T16" i="3"/>
  <c r="T15" i="3"/>
  <c r="T14" i="3"/>
  <c r="T13" i="3"/>
  <c r="T12" i="3"/>
  <c r="O14" i="3"/>
  <c r="O13" i="3"/>
  <c r="O12" i="3"/>
  <c r="J23" i="3"/>
  <c r="J22" i="3"/>
  <c r="J18" i="3"/>
  <c r="J17" i="3"/>
  <c r="J16" i="3"/>
  <c r="J15" i="3"/>
  <c r="J14" i="3"/>
  <c r="F18" i="3"/>
  <c r="F17" i="3"/>
  <c r="F16" i="3"/>
  <c r="F15" i="3"/>
  <c r="F14" i="3"/>
  <c r="F13" i="3"/>
  <c r="C14" i="3"/>
  <c r="C13" i="3"/>
  <c r="C12" i="3"/>
  <c r="W17" i="3" l="1"/>
  <c r="Z17" i="3"/>
  <c r="G18" i="3"/>
  <c r="C15" i="3"/>
  <c r="J19" i="3"/>
  <c r="K22" i="3"/>
  <c r="L22" i="3" s="1"/>
  <c r="J24" i="3"/>
  <c r="K23" i="3"/>
  <c r="L23" i="3" s="1"/>
  <c r="O15" i="3"/>
  <c r="P12" i="3"/>
  <c r="Q12" i="3" s="1"/>
  <c r="P13" i="3"/>
  <c r="Q13" i="3" s="1"/>
  <c r="P14" i="3"/>
  <c r="Q14" i="3" s="1"/>
</calcChain>
</file>

<file path=xl/sharedStrings.xml><?xml version="1.0" encoding="utf-8"?>
<sst xmlns="http://schemas.openxmlformats.org/spreadsheetml/2006/main" count="869" uniqueCount="228">
  <si>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</si>
  <si>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</si>
  <si>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</si>
  <si>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</si>
  <si>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</si>
  <si>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</si>
  <si>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</si>
  <si>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</si>
  <si>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</si>
  <si>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</si>
  <si>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</si>
  <si>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</si>
  <si>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</si>
  <si>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</si>
  <si>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</si>
  <si>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</si>
  <si>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</si>
  <si>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</si>
  <si>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</si>
  <si>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</si>
  <si>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</si>
  <si>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</si>
  <si>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</si>
  <si>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</si>
  <si>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</si>
  <si>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</si>
  <si>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</si>
  <si>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</si>
  <si>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</si>
  <si>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</si>
  <si>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</si>
  <si>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</si>
  <si>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</si>
  <si>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</si>
  <si>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</si>
  <si>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</si>
  <si>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</si>
  <si>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</si>
  <si>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</si>
  <si>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</si>
  <si>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</si>
  <si>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</si>
  <si>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</si>
  <si>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</si>
  <si>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</si>
  <si>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</si>
  <si>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</si>
  <si>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</si>
  <si>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</si>
  <si>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</si>
  <si>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</si>
  <si>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</si>
  <si>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</si>
  <si>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</si>
  <si>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</si>
  <si>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</si>
  <si>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</si>
  <si>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</si>
  <si>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</si>
  <si>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</si>
  <si>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</si>
  <si>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</si>
  <si>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</si>
  <si>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</si>
  <si>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</si>
  <si>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</si>
  <si>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</si>
  <si>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</si>
  <si>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</si>
  <si>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</si>
  <si>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</si>
  <si>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</si>
  <si>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</si>
  <si>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</si>
  <si>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</si>
  <si>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</si>
  <si>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</si>
  <si>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</si>
  <si>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</si>
  <si>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</si>
  <si>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</si>
  <si>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</si>
  <si>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</si>
  <si>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</si>
  <si>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</si>
  <si>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</si>
  <si>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</si>
  <si>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</si>
  <si>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</si>
  <si>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</si>
  <si>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</si>
  <si>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</si>
  <si>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</si>
  <si>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</si>
  <si>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</si>
  <si>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</si>
  <si>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</si>
  <si>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</si>
  <si>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</si>
  <si>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</si>
  <si>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</si>
  <si>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</si>
  <si>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</si>
  <si>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</si>
  <si>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</si>
  <si>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</si>
  <si>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</si>
  <si>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</si>
  <si>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</si>
  <si>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</si>
  <si>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</si>
  <si>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</si>
  <si>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</si>
  <si>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</si>
  <si>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</si>
  <si>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</si>
  <si>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</si>
  <si>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</si>
  <si>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</si>
  <si>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</si>
  <si>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</si>
  <si>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</si>
  <si>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</si>
  <si>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</si>
  <si>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</si>
  <si>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</si>
  <si>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</si>
  <si>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</si>
  <si>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</si>
  <si>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</si>
  <si>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</si>
  <si>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</si>
  <si>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</si>
  <si>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</si>
  <si>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</si>
  <si>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</si>
  <si>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</si>
  <si>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</si>
  <si>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</si>
  <si>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</si>
  <si>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</si>
  <si>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</si>
  <si>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</si>
  <si>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</si>
  <si>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</si>
  <si>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</si>
  <si>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</si>
  <si>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</si>
  <si>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</si>
  <si>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</si>
  <si>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</si>
  <si>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</si>
  <si>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</si>
  <si>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</si>
  <si>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</si>
  <si>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</si>
  <si>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</si>
  <si>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</si>
  <si>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</si>
  <si>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</si>
  <si>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</si>
  <si>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</si>
  <si>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</si>
  <si>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</si>
  <si>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</si>
  <si>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</si>
  <si>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</si>
  <si>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</si>
  <si>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</si>
  <si>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</si>
  <si>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</si>
  <si>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</si>
  <si>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</si>
  <si>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</si>
  <si>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</si>
  <si>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</si>
  <si>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</si>
  <si>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</si>
  <si>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</si>
  <si>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</si>
  <si>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</si>
  <si>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</si>
  <si>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</si>
  <si>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</si>
  <si>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</si>
  <si>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</si>
  <si>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</si>
  <si>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</si>
  <si>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</si>
  <si>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</si>
  <si>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</si>
  <si>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</si>
  <si>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</si>
  <si>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</si>
  <si>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</si>
  <si>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</si>
  <si>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</si>
  <si>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</si>
  <si>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</si>
  <si>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</si>
  <si>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</si>
  <si>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</si>
  <si>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</si>
  <si>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</si>
  <si>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</si>
  <si>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</si>
  <si>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</si>
  <si>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</si>
  <si>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</si>
  <si>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</si>
  <si>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</si>
  <si>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</si>
  <si>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</si>
  <si>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</si>
  <si>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</si>
  <si>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</si>
  <si>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</si>
  <si>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Number of employees to employment status</t>
  </si>
  <si>
    <t>Total</t>
  </si>
  <si>
    <t>Sum of Salary</t>
  </si>
  <si>
    <t>Salaries To Department</t>
  </si>
  <si>
    <t>Column Labels</t>
  </si>
  <si>
    <t>Age range to to gender</t>
  </si>
  <si>
    <t>Workplace</t>
  </si>
  <si>
    <t>Sum of Leave Taken</t>
  </si>
  <si>
    <t>Regions</t>
  </si>
  <si>
    <t>Departments</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</si>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</sst>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5" formatCode="_(* #,##0_);_(* \(#,##0\);_(* &quot;-&quot;??_);_(@_)"/>
    <numFmt numFmtId="173" formatCode="0.0"/>
  </numFmts>
  <fonts count="9">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1"/>
      <name val="Aptos Narrow"/>
      <family val="2"/>
      <scheme val="minor"/>
    </font>
    <font>
      <b/>
      <sz val="11"/>
      <color theme="1"/>
      <name val="Aptos Narrow"/>
      <family val="2"/>
      <scheme val="minor"/>
    </font>
    <font>
      <sz val="11"/>
      <color theme="1"/>
      <name val="Arial"/>
      <family val="2"/>
    </font>
    <font>
      <b/>
      <sz val="11"/>
      <color theme="1"/>
      <name val="Arial"/>
      <family val="2"/>
    </font>
    <font>
      <b/>
      <sz val="11"/>
      <color theme="0"/>
      <name val="Arial"/>
      <family val="2"/>
    </font>
  </fonts>
  <fills count="4">
    <fill>
      <patternFill patternType="none"/>
    </fill>
    <fill>
      <patternFill patternType="gray125"/>
    </fill>
    <fill>
      <patternFill patternType="solid">
        <fgColor rgb="FF282828"/>
        <bgColor indexed="64"/>
      </patternFill>
    </fill>
    <fill>
      <patternFill patternType="solid">
        <fgColor theme="0"/>
        <bgColor indexed="64"/>
      </patternFill>
    </fill>
  </fills>
  <borders count="2">
    <border>
      <left/>
      <right/>
      <top/>
      <bottom/>
      <diagonal/>
    </border>
    <border>
      <left/>
      <right/>
      <top style="thin">
        <color theme="1" tint="0.499984740745262"/>
      </top>
      <bottom style="thin">
        <color theme="1" tint="0.499984740745262"/>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24">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0" fillId="2" borderId="0" xfId="0" applyFill="1"/>
    <xf numFmtId="0" fontId="0" fillId="0" borderId="0" xfId="0" pivotButton="1"/>
    <xf numFmtId="0" fontId="0" fillId="0" borderId="0" xfId="0" applyAlignment="1">
      <alignment horizontal="left"/>
    </xf>
    <xf numFmtId="0" fontId="0" fillId="0" borderId="0" xfId="0" applyNumberFormat="1"/>
    <xf numFmtId="0" fontId="6" fillId="0" borderId="0" xfId="0" applyFont="1"/>
    <xf numFmtId="0" fontId="6" fillId="0" borderId="0" xfId="0" pivotButton="1" applyFont="1"/>
    <xf numFmtId="0" fontId="6" fillId="0" borderId="0" xfId="0" applyFont="1" applyAlignment="1">
      <alignment horizontal="left"/>
    </xf>
    <xf numFmtId="0" fontId="6" fillId="0" borderId="0" xfId="0" applyNumberFormat="1" applyFont="1"/>
    <xf numFmtId="0" fontId="6" fillId="0" borderId="0" xfId="0" applyFont="1" applyAlignment="1">
      <alignment horizontal="center"/>
    </xf>
    <xf numFmtId="0" fontId="6" fillId="0" borderId="0" xfId="0" applyFont="1" applyAlignment="1"/>
    <xf numFmtId="0" fontId="8" fillId="2" borderId="0" xfId="0" applyFont="1" applyFill="1" applyAlignment="1">
      <alignment horizontal="center" vertical="center"/>
    </xf>
    <xf numFmtId="165" fontId="6" fillId="0" borderId="0" xfId="0" applyNumberFormat="1" applyFont="1"/>
    <xf numFmtId="165" fontId="6" fillId="0" borderId="0" xfId="1" applyNumberFormat="1" applyFont="1"/>
    <xf numFmtId="9" fontId="7" fillId="0" borderId="0" xfId="2" applyFont="1"/>
    <xf numFmtId="9" fontId="6" fillId="0" borderId="0" xfId="0" applyNumberFormat="1" applyFont="1"/>
    <xf numFmtId="165" fontId="0" fillId="0" borderId="0" xfId="0" applyNumberFormat="1"/>
    <xf numFmtId="0" fontId="8" fillId="3" borderId="0" xfId="0" applyFont="1" applyFill="1" applyAlignment="1">
      <alignment horizontal="center" vertical="center"/>
    </xf>
    <xf numFmtId="0" fontId="6" fillId="3" borderId="0" xfId="0" applyFont="1" applyFill="1"/>
    <xf numFmtId="173" fontId="0" fillId="0" borderId="0" xfId="0" applyNumberFormat="1"/>
    <xf numFmtId="173" fontId="5" fillId="0" borderId="0" xfId="0" applyNumberFormat="1" applyFont="1"/>
  </cellXfs>
  <cellStyles count="3">
    <cellStyle name="Comma" xfId="1" builtinId="3"/>
    <cellStyle name="Normal" xfId="0" builtinId="0"/>
    <cellStyle name="Percent" xfId="2" builtinId="5"/>
  </cellStyles>
  <dxfs count="821">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numFmt numFmtId="173" formatCode="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numFmt numFmtId="173" formatCode="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numFmt numFmtId="173" formatCode="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numFmt numFmtId="173" formatCode="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numFmt numFmtId="173" formatCode="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numFmt numFmtId="173" formatCode="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numFmt numFmtId="173" formatCode="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numFmt numFmtId="173" formatCode="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numFmt numFmtId="173" formatCode="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numFmt numFmtId="173" formatCode="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numFmt numFmtId="173" formatCode="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numFmt numFmtId="173" formatCode="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numFmt numFmtId="173" formatCode="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numFmt numFmtId="173" formatCode="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numFmt numFmtId="173" formatCode="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numFmt numFmtId="173" formatCode="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b/>
        <i val="0"/>
        <sz val="11"/>
        <color theme="0"/>
        <name val="Aptos Narrow"/>
        <family val="2"/>
        <scheme val="minor"/>
      </font>
      <fill>
        <patternFill>
          <bgColor rgb="FF292929"/>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numFmt numFmtId="173" formatCode="0.0"/>
    </dxf>
    <dxf>
      <numFmt numFmtId="2" formatCode="0.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s>
  <tableStyles count="1" defaultTableStyle="TableStyleMedium2" defaultPivotStyle="PivotStyleLight16">
    <tableStyle name="Slicer Style 1" pivot="0" table="0" count="4" xr9:uid="{8E663883-A4D6-4E38-BA35-B6512084B860}">
      <tableStyleElement type="wholeTable" dxfId="697"/>
    </tableStyle>
  </tableStyles>
  <colors>
    <mruColors>
      <color rgb="FF292929"/>
      <color rgb="FF1F1F1F"/>
      <color rgb="FFFFF2CC"/>
      <color rgb="FFCC6600"/>
      <color rgb="FFFF9900"/>
      <color rgb="FFE5B244"/>
      <color rgb="FFE2B544"/>
      <color rgb="FF282828"/>
      <color rgb="FF3B3B3B"/>
    </mruColors>
  </colors>
  <extLst>
    <ext xmlns:x14="http://schemas.microsoft.com/office/spreadsheetml/2009/9/main" uri="{46F421CA-312F-682f-3DD2-61675219B42D}">
      <x14:dxfs count="19">
        <dxf>
          <font>
            <color theme="0"/>
            <name val="Aptos Narrow"/>
            <family val="2"/>
            <scheme val="minor"/>
          </font>
          <fill>
            <patternFill>
              <bgColor rgb="FFCC6600"/>
            </patternFill>
          </fill>
        </dxf>
        <dxf>
          <font>
            <color theme="1"/>
          </font>
          <fill>
            <patternFill>
              <bgColor rgb="FFFFF2CC"/>
            </patternFill>
          </fill>
        </dxf>
        <dxf>
          <font>
            <b/>
            <i val="0"/>
            <color theme="0"/>
            <name val="Aptos Narrow"/>
            <family val="2"/>
            <scheme val="minor"/>
          </font>
          <fill>
            <patternFill>
              <bgColor rgb="FFFF9900"/>
            </patternFill>
          </fill>
        </dxf>
        <dxf>
          <font>
            <color theme="0"/>
            <name val="Aptos Narrow"/>
            <family val="2"/>
            <scheme val="minor"/>
          </font>
          <fill>
            <patternFill>
              <bgColor rgb="FFCC6600"/>
            </patternFill>
          </fill>
        </dxf>
        <dxf>
          <font>
            <color theme="1"/>
          </font>
          <fill>
            <patternFill>
              <bgColor rgb="FFFFF2CC"/>
            </patternFill>
          </fill>
        </dxf>
        <dxf>
          <font>
            <b/>
            <i val="0"/>
            <color theme="0"/>
            <name val="Aptos Narrow"/>
            <family val="2"/>
            <scheme val="minor"/>
          </font>
          <fill>
            <patternFill>
              <bgColor rgb="FFFF9900"/>
            </patternFill>
          </fill>
        </dxf>
        <dxf>
          <font>
            <color theme="1"/>
          </font>
          <fill>
            <patternFill>
              <bgColor rgb="FFFFF2CC"/>
            </patternFill>
          </fill>
        </dxf>
        <dxf>
          <font>
            <color theme="0"/>
            <name val="Aptos Narrow"/>
            <family val="2"/>
            <scheme val="minor"/>
          </font>
          <fill>
            <patternFill>
              <bgColor rgb="FFCC6600"/>
            </patternFill>
          </fill>
        </dxf>
        <dxf>
          <font>
            <b/>
            <i val="0"/>
            <color theme="0"/>
            <name val="Aptos Narrow"/>
            <family val="2"/>
            <scheme val="minor"/>
          </font>
          <fill>
            <patternFill>
              <bgColor rgb="FFFF9900"/>
            </patternFill>
          </fill>
        </dxf>
        <dxf>
          <font>
            <color theme="1"/>
            <name val="Aptos Narrow"/>
            <family val="2"/>
            <scheme val="minor"/>
          </font>
          <fill>
            <patternFill>
              <fgColor rgb="FFFFC000"/>
            </patternFill>
          </fill>
        </dxf>
        <dxf>
          <font>
            <color theme="1"/>
            <name val="Aptos Narrow"/>
            <family val="2"/>
            <scheme val="minor"/>
          </font>
          <fill>
            <patternFill>
              <bgColor rgb="FFFFC000"/>
            </patternFill>
          </fill>
        </dxf>
        <dxf>
          <font>
            <b val="0"/>
            <i val="0"/>
            <sz val="11"/>
            <color theme="1"/>
            <name val="Aptos Narrow"/>
            <family val="2"/>
            <scheme val="minor"/>
          </font>
          <fill>
            <patternFill>
              <fgColor rgb="FFE5B244"/>
              <bgColor rgb="FFE5B244"/>
            </patternFill>
          </fill>
        </dxf>
        <dxf>
          <font>
            <color rgb="FFE2B544"/>
          </font>
          <fill>
            <patternFill>
              <bgColor rgb="FF282828"/>
            </patternFill>
          </fill>
        </dxf>
        <dxf>
          <font>
            <b val="0"/>
            <i val="0"/>
            <sz val="11"/>
            <color theme="1"/>
            <name val="Aptos Narrow"/>
            <family val="2"/>
            <scheme val="minor"/>
          </font>
          <fill>
            <patternFill>
              <fgColor rgb="FFE5B244"/>
              <bgColor rgb="FFE5B244"/>
            </patternFill>
          </fill>
        </dxf>
        <dxf>
          <font>
            <b val="0"/>
            <i val="0"/>
            <sz val="11"/>
            <name val="Aptos Narrow"/>
            <family val="2"/>
            <scheme val="minor"/>
          </font>
          <fill>
            <patternFill>
              <bgColor rgb="FFE5B244"/>
            </patternFill>
          </fill>
        </dxf>
        <dxf>
          <font>
            <b val="0"/>
            <i val="0"/>
            <sz val="11"/>
            <color theme="1"/>
            <name val="Aptos Narrow"/>
            <family val="2"/>
            <scheme val="minor"/>
          </font>
          <fill>
            <patternFill>
              <fgColor rgb="FFE5B244"/>
              <bgColor rgb="FFE5B244"/>
            </patternFill>
          </fill>
        </dxf>
        <dxf>
          <font>
            <color rgb="FFE2B544"/>
          </font>
          <fill>
            <patternFill>
              <bgColor rgb="FF282828"/>
            </patternFill>
          </fill>
        </dxf>
        <dxf>
          <font>
            <color theme="1"/>
            <name val="Aptos Narrow"/>
            <family val="2"/>
            <scheme val="minor"/>
          </font>
          <fill>
            <patternFill>
              <fgColor rgb="FFE5B244"/>
              <bgColor rgb="FFE5B244"/>
            </patternFill>
          </fill>
        </dxf>
        <dxf>
          <font>
            <b val="0"/>
            <i val="0"/>
            <sz val="11"/>
            <color theme="1"/>
            <name val="Aptos Narrow"/>
            <family val="2"/>
            <scheme val="minor"/>
          </font>
          <fill>
            <patternFill>
              <fgColor rgb="FFE5B244"/>
              <bgColor rgb="FFE5B244"/>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3.0453531201363581E-2"/>
          <c:w val="1"/>
          <c:h val="0.79315879055108918"/>
        </c:manualLayout>
      </c:layout>
      <c:pieChart>
        <c:varyColors val="1"/>
        <c:ser>
          <c:idx val="0"/>
          <c:order val="0"/>
          <c:spPr>
            <a:ln>
              <a:solidFill>
                <a:schemeClr val="accent1"/>
              </a:solidFill>
            </a:ln>
          </c:spPr>
          <c:dPt>
            <c:idx val="0"/>
            <c:bubble3D val="0"/>
            <c:spPr>
              <a:solidFill>
                <a:srgbClr val="FFC000"/>
              </a:solidFill>
              <a:ln w="19050">
                <a:solidFill>
                  <a:schemeClr val="tx1"/>
                </a:solidFill>
              </a:ln>
              <a:effectLst/>
            </c:spPr>
            <c:extLst>
              <c:ext xmlns:c16="http://schemas.microsoft.com/office/drawing/2014/chart" uri="{C3380CC4-5D6E-409C-BE32-E72D297353CC}">
                <c16:uniqueId val="{00000001-A782-4F98-9308-AF304E26A2D1}"/>
              </c:ext>
            </c:extLst>
          </c:dPt>
          <c:dPt>
            <c:idx val="1"/>
            <c:bubble3D val="0"/>
            <c:spPr>
              <a:solidFill>
                <a:schemeClr val="tx1">
                  <a:lumMod val="75000"/>
                  <a:lumOff val="25000"/>
                </a:schemeClr>
              </a:solidFill>
              <a:ln w="19050">
                <a:solidFill>
                  <a:schemeClr val="tx1"/>
                </a:solidFill>
              </a:ln>
              <a:effectLst/>
            </c:spPr>
            <c:extLst>
              <c:ext xmlns:c16="http://schemas.microsoft.com/office/drawing/2014/chart" uri="{C3380CC4-5D6E-409C-BE32-E72D297353CC}">
                <c16:uniqueId val="{00000003-A782-4F98-9308-AF304E26A2D1}"/>
              </c:ext>
            </c:extLst>
          </c:dPt>
          <c:dPt>
            <c:idx val="2"/>
            <c:bubble3D val="0"/>
            <c:spPr>
              <a:solidFill>
                <a:schemeClr val="bg1">
                  <a:lumMod val="85000"/>
                </a:schemeClr>
              </a:solidFill>
              <a:ln w="19050">
                <a:solidFill>
                  <a:schemeClr val="tx1"/>
                </a:solidFill>
              </a:ln>
              <a:effectLst/>
            </c:spPr>
            <c:extLst>
              <c:ext xmlns:c16="http://schemas.microsoft.com/office/drawing/2014/chart" uri="{C3380CC4-5D6E-409C-BE32-E72D297353CC}">
                <c16:uniqueId val="{00000005-A782-4F98-9308-AF304E26A2D1}"/>
              </c:ext>
            </c:extLst>
          </c:dPt>
          <c:cat>
            <c:strRef>
              <c:f>'Pivot tables'!$B$12:$B$14</c:f>
              <c:strCache>
                <c:ptCount val="3"/>
                <c:pt idx="0">
                  <c:v>Contract</c:v>
                </c:pt>
                <c:pt idx="1">
                  <c:v>Full-Time</c:v>
                </c:pt>
                <c:pt idx="2">
                  <c:v>Part-Time</c:v>
                </c:pt>
              </c:strCache>
            </c:strRef>
          </c:cat>
          <c:val>
            <c:numRef>
              <c:f>'Pivot tables'!$C$12:$C$14</c:f>
              <c:numCache>
                <c:formatCode>General</c:formatCode>
                <c:ptCount val="3"/>
                <c:pt idx="0">
                  <c:v>3</c:v>
                </c:pt>
                <c:pt idx="1">
                  <c:v>5</c:v>
                </c:pt>
                <c:pt idx="2">
                  <c:v>1</c:v>
                </c:pt>
              </c:numCache>
            </c:numRef>
          </c:val>
          <c:extLst>
            <c:ext xmlns:c16="http://schemas.microsoft.com/office/drawing/2014/chart" uri="{C3380CC4-5D6E-409C-BE32-E72D297353CC}">
              <c16:uniqueId val="{00000006-A782-4F98-9308-AF304E26A2D1}"/>
            </c:ext>
          </c:extLst>
        </c:ser>
        <c:dLbls>
          <c:showLegendKey val="0"/>
          <c:showVal val="0"/>
          <c:showCatName val="0"/>
          <c:showSerName val="0"/>
          <c:showPercent val="0"/>
          <c:showBubbleSize val="0"/>
          <c:showLeaderLines val="1"/>
        </c:dLbls>
        <c:firstSliceAng val="0"/>
      </c:pieChart>
      <c:spPr>
        <a:noFill/>
        <a:ln w="285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Monitor.xlsx]Pivot tables!Age range</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24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E5B244"/>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lumMod val="8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tables'!$J$5:$J$6</c:f>
              <c:strCache>
                <c:ptCount val="1"/>
                <c:pt idx="0">
                  <c:v>Female</c:v>
                </c:pt>
              </c:strCache>
            </c:strRef>
          </c:tx>
          <c:spPr>
            <a:solidFill>
              <a:srgbClr val="E5B244"/>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E5B244"/>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tables'!$I$7:$I$12</c:f>
              <c:strCache>
                <c:ptCount val="5"/>
                <c:pt idx="0">
                  <c:v>18-25</c:v>
                </c:pt>
                <c:pt idx="1">
                  <c:v>26-35</c:v>
                </c:pt>
                <c:pt idx="2">
                  <c:v>36-45</c:v>
                </c:pt>
                <c:pt idx="3">
                  <c:v>46-55</c:v>
                </c:pt>
                <c:pt idx="4">
                  <c:v>56 &lt;</c:v>
                </c:pt>
              </c:strCache>
            </c:strRef>
          </c:cat>
          <c:val>
            <c:numRef>
              <c:f>'Pivot tables'!$J$7:$J$12</c:f>
              <c:numCache>
                <c:formatCode>General</c:formatCode>
                <c:ptCount val="5"/>
                <c:pt idx="0">
                  <c:v>1</c:v>
                </c:pt>
                <c:pt idx="1">
                  <c:v>2</c:v>
                </c:pt>
                <c:pt idx="2">
                  <c:v>1</c:v>
                </c:pt>
              </c:numCache>
            </c:numRef>
          </c:val>
          <c:extLst>
            <c:ext xmlns:c16="http://schemas.microsoft.com/office/drawing/2014/chart" uri="{C3380CC4-5D6E-409C-BE32-E72D297353CC}">
              <c16:uniqueId val="{00000000-D44D-47A1-99E7-E4FA7F924F7A}"/>
            </c:ext>
          </c:extLst>
        </c:ser>
        <c:ser>
          <c:idx val="1"/>
          <c:order val="1"/>
          <c:tx>
            <c:strRef>
              <c:f>'Pivot tables'!$K$5:$K$6</c:f>
              <c:strCache>
                <c:ptCount val="1"/>
                <c:pt idx="0">
                  <c:v>Male</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lumMod val="8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tables'!$I$7:$I$12</c:f>
              <c:strCache>
                <c:ptCount val="5"/>
                <c:pt idx="0">
                  <c:v>18-25</c:v>
                </c:pt>
                <c:pt idx="1">
                  <c:v>26-35</c:v>
                </c:pt>
                <c:pt idx="2">
                  <c:v>36-45</c:v>
                </c:pt>
                <c:pt idx="3">
                  <c:v>46-55</c:v>
                </c:pt>
                <c:pt idx="4">
                  <c:v>56 &lt;</c:v>
                </c:pt>
              </c:strCache>
            </c:strRef>
          </c:cat>
          <c:val>
            <c:numRef>
              <c:f>'Pivot tables'!$K$7:$K$12</c:f>
              <c:numCache>
                <c:formatCode>General</c:formatCode>
                <c:ptCount val="5"/>
                <c:pt idx="2">
                  <c:v>2</c:v>
                </c:pt>
                <c:pt idx="3">
                  <c:v>1</c:v>
                </c:pt>
                <c:pt idx="4">
                  <c:v>2</c:v>
                </c:pt>
              </c:numCache>
            </c:numRef>
          </c:val>
          <c:extLst>
            <c:ext xmlns:c16="http://schemas.microsoft.com/office/drawing/2014/chart" uri="{C3380CC4-5D6E-409C-BE32-E72D297353CC}">
              <c16:uniqueId val="{00000001-D44D-47A1-99E7-E4FA7F924F7A}"/>
            </c:ext>
          </c:extLst>
        </c:ser>
        <c:dLbls>
          <c:dLblPos val="outEnd"/>
          <c:showLegendKey val="0"/>
          <c:showVal val="1"/>
          <c:showCatName val="0"/>
          <c:showSerName val="0"/>
          <c:showPercent val="0"/>
          <c:showBubbleSize val="0"/>
        </c:dLbls>
        <c:gapWidth val="219"/>
        <c:overlap val="-27"/>
        <c:axId val="99422079"/>
        <c:axId val="99428799"/>
      </c:barChart>
      <c:catAx>
        <c:axId val="9942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Arial" panose="020B0604020202020204" pitchFamily="34" charset="0"/>
                <a:ea typeface="+mn-ea"/>
                <a:cs typeface="Arial" panose="020B0604020202020204" pitchFamily="34" charset="0"/>
              </a:defRPr>
            </a:pPr>
            <a:endParaRPr lang="en-US"/>
          </a:p>
        </c:txPr>
        <c:crossAx val="99428799"/>
        <c:crosses val="autoZero"/>
        <c:auto val="1"/>
        <c:lblAlgn val="ctr"/>
        <c:lblOffset val="100"/>
        <c:noMultiLvlLbl val="0"/>
      </c:catAx>
      <c:valAx>
        <c:axId val="99428799"/>
        <c:scaling>
          <c:orientation val="minMax"/>
        </c:scaling>
        <c:delete val="1"/>
        <c:axPos val="l"/>
        <c:majorGridlines>
          <c:spPr>
            <a:ln w="9525" cap="flat" cmpd="sng" algn="ctr">
              <a:solidFill>
                <a:srgbClr val="E5B244">
                  <a:alpha val="36000"/>
                </a:srgbClr>
              </a:solidFill>
              <a:prstDash val="dashDot"/>
              <a:round/>
            </a:ln>
            <a:effectLst/>
          </c:spPr>
        </c:majorGridlines>
        <c:numFmt formatCode="General" sourceLinked="1"/>
        <c:majorTickMark val="none"/>
        <c:minorTickMark val="none"/>
        <c:tickLblPos val="nextTo"/>
        <c:crossAx val="99422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tables'!$P$12</c:f>
              <c:numCache>
                <c:formatCode>0%</c:formatCode>
                <c:ptCount val="1"/>
                <c:pt idx="0">
                  <c:v>0.44444444444444442</c:v>
                </c:pt>
              </c:numCache>
            </c:numRef>
          </c:val>
          <c:extLst>
            <c:ext xmlns:c16="http://schemas.microsoft.com/office/drawing/2014/chart" uri="{C3380CC4-5D6E-409C-BE32-E72D297353CC}">
              <c16:uniqueId val="{00000000-4F71-4646-AC25-4A014B1F200D}"/>
            </c:ext>
          </c:extLst>
        </c:ser>
        <c:ser>
          <c:idx val="1"/>
          <c:order val="1"/>
          <c:spPr>
            <a:solidFill>
              <a:schemeClr val="bg1">
                <a:lumMod val="95000"/>
              </a:schemeClr>
            </a:solidFill>
            <a:ln>
              <a:noFill/>
            </a:ln>
            <a:effectLst/>
          </c:spPr>
          <c:invertIfNegative val="0"/>
          <c:val>
            <c:numRef>
              <c:f>'Pivot tables'!$Q$12</c:f>
              <c:numCache>
                <c:formatCode>0%</c:formatCode>
                <c:ptCount val="1"/>
                <c:pt idx="0">
                  <c:v>0.55555555555555558</c:v>
                </c:pt>
              </c:numCache>
            </c:numRef>
          </c:val>
          <c:extLst>
            <c:ext xmlns:c16="http://schemas.microsoft.com/office/drawing/2014/chart" uri="{C3380CC4-5D6E-409C-BE32-E72D297353CC}">
              <c16:uniqueId val="{00000001-4F71-4646-AC25-4A014B1F200D}"/>
            </c:ext>
          </c:extLst>
        </c:ser>
        <c:dLbls>
          <c:showLegendKey val="0"/>
          <c:showVal val="0"/>
          <c:showCatName val="0"/>
          <c:showSerName val="0"/>
          <c:showPercent val="0"/>
          <c:showBubbleSize val="0"/>
        </c:dLbls>
        <c:gapWidth val="150"/>
        <c:overlap val="100"/>
        <c:axId val="685319023"/>
        <c:axId val="685319503"/>
      </c:barChart>
      <c:catAx>
        <c:axId val="685319023"/>
        <c:scaling>
          <c:orientation val="minMax"/>
        </c:scaling>
        <c:delete val="1"/>
        <c:axPos val="l"/>
        <c:majorTickMark val="none"/>
        <c:minorTickMark val="none"/>
        <c:tickLblPos val="nextTo"/>
        <c:crossAx val="685319503"/>
        <c:crosses val="autoZero"/>
        <c:auto val="1"/>
        <c:lblAlgn val="ctr"/>
        <c:lblOffset val="100"/>
        <c:noMultiLvlLbl val="0"/>
      </c:catAx>
      <c:valAx>
        <c:axId val="685319503"/>
        <c:scaling>
          <c:orientation val="minMax"/>
        </c:scaling>
        <c:delete val="1"/>
        <c:axPos val="b"/>
        <c:numFmt formatCode="0%" sourceLinked="1"/>
        <c:majorTickMark val="none"/>
        <c:minorTickMark val="none"/>
        <c:tickLblPos val="nextTo"/>
        <c:crossAx val="68531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tables'!$P$13</c:f>
              <c:numCache>
                <c:formatCode>0%</c:formatCode>
                <c:ptCount val="1"/>
                <c:pt idx="0">
                  <c:v>0.1111111111111111</c:v>
                </c:pt>
              </c:numCache>
            </c:numRef>
          </c:val>
          <c:extLst>
            <c:ext xmlns:c16="http://schemas.microsoft.com/office/drawing/2014/chart" uri="{C3380CC4-5D6E-409C-BE32-E72D297353CC}">
              <c16:uniqueId val="{00000000-F964-46BD-B2B4-FD3BEFAE36BA}"/>
            </c:ext>
          </c:extLst>
        </c:ser>
        <c:ser>
          <c:idx val="1"/>
          <c:order val="1"/>
          <c:spPr>
            <a:solidFill>
              <a:schemeClr val="bg1">
                <a:lumMod val="95000"/>
              </a:schemeClr>
            </a:solidFill>
            <a:ln>
              <a:noFill/>
            </a:ln>
            <a:effectLst/>
          </c:spPr>
          <c:invertIfNegative val="0"/>
          <c:val>
            <c:numRef>
              <c:f>'Pivot tables'!$Q$13</c:f>
              <c:numCache>
                <c:formatCode>0%</c:formatCode>
                <c:ptCount val="1"/>
                <c:pt idx="0">
                  <c:v>0.88888888888888884</c:v>
                </c:pt>
              </c:numCache>
            </c:numRef>
          </c:val>
          <c:extLst>
            <c:ext xmlns:c16="http://schemas.microsoft.com/office/drawing/2014/chart" uri="{C3380CC4-5D6E-409C-BE32-E72D297353CC}">
              <c16:uniqueId val="{00000001-F964-46BD-B2B4-FD3BEFAE36BA}"/>
            </c:ext>
          </c:extLst>
        </c:ser>
        <c:dLbls>
          <c:showLegendKey val="0"/>
          <c:showVal val="0"/>
          <c:showCatName val="0"/>
          <c:showSerName val="0"/>
          <c:showPercent val="0"/>
          <c:showBubbleSize val="0"/>
        </c:dLbls>
        <c:gapWidth val="150"/>
        <c:overlap val="100"/>
        <c:axId val="550172607"/>
        <c:axId val="550173087"/>
      </c:barChart>
      <c:catAx>
        <c:axId val="550172607"/>
        <c:scaling>
          <c:orientation val="minMax"/>
        </c:scaling>
        <c:delete val="1"/>
        <c:axPos val="l"/>
        <c:majorTickMark val="none"/>
        <c:minorTickMark val="none"/>
        <c:tickLblPos val="nextTo"/>
        <c:crossAx val="550173087"/>
        <c:crosses val="autoZero"/>
        <c:auto val="1"/>
        <c:lblAlgn val="ctr"/>
        <c:lblOffset val="100"/>
        <c:noMultiLvlLbl val="0"/>
      </c:catAx>
      <c:valAx>
        <c:axId val="550173087"/>
        <c:scaling>
          <c:orientation val="minMax"/>
        </c:scaling>
        <c:delete val="1"/>
        <c:axPos val="b"/>
        <c:numFmt formatCode="0%" sourceLinked="1"/>
        <c:majorTickMark val="none"/>
        <c:minorTickMark val="none"/>
        <c:tickLblPos val="nextTo"/>
        <c:crossAx val="550172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tables'!$P$14</c:f>
              <c:numCache>
                <c:formatCode>0%</c:formatCode>
                <c:ptCount val="1"/>
                <c:pt idx="0">
                  <c:v>0.44444444444444442</c:v>
                </c:pt>
              </c:numCache>
            </c:numRef>
          </c:val>
          <c:extLst>
            <c:ext xmlns:c16="http://schemas.microsoft.com/office/drawing/2014/chart" uri="{C3380CC4-5D6E-409C-BE32-E72D297353CC}">
              <c16:uniqueId val="{00000000-8FE6-44CB-8C72-F6B99E25747F}"/>
            </c:ext>
          </c:extLst>
        </c:ser>
        <c:ser>
          <c:idx val="1"/>
          <c:order val="1"/>
          <c:spPr>
            <a:solidFill>
              <a:schemeClr val="bg1">
                <a:lumMod val="95000"/>
              </a:schemeClr>
            </a:solidFill>
            <a:ln>
              <a:noFill/>
            </a:ln>
            <a:effectLst/>
          </c:spPr>
          <c:invertIfNegative val="0"/>
          <c:val>
            <c:numRef>
              <c:f>'Pivot tables'!$Q$14</c:f>
              <c:numCache>
                <c:formatCode>0%</c:formatCode>
                <c:ptCount val="1"/>
                <c:pt idx="0">
                  <c:v>0.55555555555555558</c:v>
                </c:pt>
              </c:numCache>
            </c:numRef>
          </c:val>
          <c:extLst>
            <c:ext xmlns:c16="http://schemas.microsoft.com/office/drawing/2014/chart" uri="{C3380CC4-5D6E-409C-BE32-E72D297353CC}">
              <c16:uniqueId val="{00000001-8FE6-44CB-8C72-F6B99E25747F}"/>
            </c:ext>
          </c:extLst>
        </c:ser>
        <c:dLbls>
          <c:showLegendKey val="0"/>
          <c:showVal val="0"/>
          <c:showCatName val="0"/>
          <c:showSerName val="0"/>
          <c:showPercent val="0"/>
          <c:showBubbleSize val="0"/>
        </c:dLbls>
        <c:gapWidth val="150"/>
        <c:overlap val="100"/>
        <c:axId val="107194303"/>
        <c:axId val="107196703"/>
      </c:barChart>
      <c:catAx>
        <c:axId val="107194303"/>
        <c:scaling>
          <c:orientation val="minMax"/>
        </c:scaling>
        <c:delete val="1"/>
        <c:axPos val="l"/>
        <c:majorTickMark val="none"/>
        <c:minorTickMark val="none"/>
        <c:tickLblPos val="nextTo"/>
        <c:crossAx val="107196703"/>
        <c:crosses val="autoZero"/>
        <c:auto val="1"/>
        <c:lblAlgn val="ctr"/>
        <c:lblOffset val="100"/>
        <c:noMultiLvlLbl val="0"/>
      </c:catAx>
      <c:valAx>
        <c:axId val="107196703"/>
        <c:scaling>
          <c:orientation val="minMax"/>
        </c:scaling>
        <c:delete val="1"/>
        <c:axPos val="b"/>
        <c:numFmt formatCode="0%" sourceLinked="1"/>
        <c:majorTickMark val="none"/>
        <c:minorTickMark val="none"/>
        <c:tickLblPos val="nextTo"/>
        <c:crossAx val="107194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3B3B3B"/>
              </a:solidFill>
              <a:ln w="19050">
                <a:noFill/>
              </a:ln>
              <a:effectLst/>
            </c:spPr>
            <c:extLst>
              <c:ext xmlns:c16="http://schemas.microsoft.com/office/drawing/2014/chart" uri="{C3380CC4-5D6E-409C-BE32-E72D297353CC}">
                <c16:uniqueId val="{00000001-E48E-465F-87FE-EF2066729982}"/>
              </c:ext>
            </c:extLst>
          </c:dPt>
          <c:dPt>
            <c:idx val="1"/>
            <c:bubble3D val="0"/>
            <c:spPr>
              <a:solidFill>
                <a:srgbClr val="E5B244"/>
              </a:solidFill>
              <a:ln w="19050">
                <a:noFill/>
              </a:ln>
              <a:effectLst/>
            </c:spPr>
            <c:extLst>
              <c:ext xmlns:c16="http://schemas.microsoft.com/office/drawing/2014/chart" uri="{C3380CC4-5D6E-409C-BE32-E72D297353CC}">
                <c16:uniqueId val="{00000003-E48E-465F-87FE-EF2066729982}"/>
              </c:ext>
            </c:extLst>
          </c:dPt>
          <c:val>
            <c:numRef>
              <c:f>'Pivot tables'!$K$23:$L$23</c:f>
              <c:numCache>
                <c:formatCode>0%</c:formatCode>
                <c:ptCount val="2"/>
                <c:pt idx="0">
                  <c:v>0.44444444444444442</c:v>
                </c:pt>
                <c:pt idx="1">
                  <c:v>0.55555555555555558</c:v>
                </c:pt>
              </c:numCache>
            </c:numRef>
          </c:val>
          <c:extLst>
            <c:ext xmlns:c16="http://schemas.microsoft.com/office/drawing/2014/chart" uri="{C3380CC4-5D6E-409C-BE32-E72D297353CC}">
              <c16:uniqueId val="{00000004-E48E-465F-87FE-EF206672998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E5B244"/>
            </a:solidFill>
          </c:spPr>
          <c:dPt>
            <c:idx val="0"/>
            <c:bubble3D val="0"/>
            <c:spPr>
              <a:solidFill>
                <a:schemeClr val="bg1">
                  <a:lumMod val="95000"/>
                </a:schemeClr>
              </a:solidFill>
              <a:ln w="19050">
                <a:noFill/>
              </a:ln>
              <a:effectLst/>
            </c:spPr>
            <c:extLst>
              <c:ext xmlns:c16="http://schemas.microsoft.com/office/drawing/2014/chart" uri="{C3380CC4-5D6E-409C-BE32-E72D297353CC}">
                <c16:uniqueId val="{00000001-AFA9-403C-AA1D-37204E79D30D}"/>
              </c:ext>
            </c:extLst>
          </c:dPt>
          <c:dPt>
            <c:idx val="1"/>
            <c:bubble3D val="0"/>
            <c:spPr>
              <a:solidFill>
                <a:srgbClr val="E5B244"/>
              </a:solidFill>
              <a:ln w="19050">
                <a:noFill/>
              </a:ln>
              <a:effectLst/>
            </c:spPr>
            <c:extLst>
              <c:ext xmlns:c16="http://schemas.microsoft.com/office/drawing/2014/chart" uri="{C3380CC4-5D6E-409C-BE32-E72D297353CC}">
                <c16:uniqueId val="{00000003-AFA9-403C-AA1D-37204E79D30D}"/>
              </c:ext>
            </c:extLst>
          </c:dPt>
          <c:val>
            <c:numRef>
              <c:f>'Pivot tables'!$K$22:$L$22</c:f>
              <c:numCache>
                <c:formatCode>0%</c:formatCode>
                <c:ptCount val="2"/>
                <c:pt idx="0">
                  <c:v>0.55555555555555558</c:v>
                </c:pt>
                <c:pt idx="1">
                  <c:v>0.44444444444444442</c:v>
                </c:pt>
              </c:numCache>
            </c:numRef>
          </c:val>
          <c:extLst>
            <c:ext xmlns:c16="http://schemas.microsoft.com/office/drawing/2014/chart" uri="{C3380CC4-5D6E-409C-BE32-E72D297353CC}">
              <c16:uniqueId val="{00000004-AFA9-403C-AA1D-37204E79D30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9-5961-4F0A-B3BF-DF04FABE95CB}"/>
              </c:ext>
            </c:extLst>
          </c:dPt>
          <c:dPt>
            <c:idx val="1"/>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1-5961-4F0A-B3BF-DF04FABE95CB}"/>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3-5961-4F0A-B3BF-DF04FABE95CB}"/>
              </c:ext>
            </c:extLst>
          </c:dPt>
          <c:dPt>
            <c:idx val="3"/>
            <c:invertIfNegative val="0"/>
            <c:bubble3D val="0"/>
            <c:spPr>
              <a:solidFill>
                <a:schemeClr val="bg1">
                  <a:lumMod val="95000"/>
                </a:schemeClr>
              </a:solidFill>
              <a:ln>
                <a:noFill/>
              </a:ln>
              <a:effectLst/>
            </c:spPr>
            <c:extLst>
              <c:ext xmlns:c16="http://schemas.microsoft.com/office/drawing/2014/chart" uri="{C3380CC4-5D6E-409C-BE32-E72D297353CC}">
                <c16:uniqueId val="{00000005-5961-4F0A-B3BF-DF04FABE95CB}"/>
              </c:ext>
            </c:extLst>
          </c:dPt>
          <c:dPt>
            <c:idx val="4"/>
            <c:invertIfNegative val="0"/>
            <c:bubble3D val="0"/>
            <c:spPr>
              <a:solidFill>
                <a:srgbClr val="FFC000"/>
              </a:solidFill>
              <a:ln>
                <a:noFill/>
              </a:ln>
              <a:effectLst/>
            </c:spPr>
            <c:extLst>
              <c:ext xmlns:c16="http://schemas.microsoft.com/office/drawing/2014/chart" uri="{C3380CC4-5D6E-409C-BE32-E72D297353CC}">
                <c16:uniqueId val="{00000007-5961-4F0A-B3BF-DF04FABE95C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tables'!$E$13,'Pivot tables'!$E$14,'Pivot tables'!$E$15,'Pivot tables'!$E$16,'Pivot tables'!$E$17)</c:f>
              <c:strCache>
                <c:ptCount val="5"/>
                <c:pt idx="0">
                  <c:v>Analyst</c:v>
                </c:pt>
                <c:pt idx="1">
                  <c:v>Designer</c:v>
                </c:pt>
                <c:pt idx="2">
                  <c:v>Developer</c:v>
                </c:pt>
                <c:pt idx="3">
                  <c:v>HR Specialist</c:v>
                </c:pt>
                <c:pt idx="4">
                  <c:v>Manager</c:v>
                </c:pt>
              </c:strCache>
            </c:strRef>
          </c:cat>
          <c:val>
            <c:numRef>
              <c:f>('Pivot tables'!$G$13,'Pivot tables'!$G$14,'Pivot tables'!$G$15,'Pivot tables'!$G$16,'Pivot tables'!$G$17)</c:f>
              <c:numCache>
                <c:formatCode>_(* #,##0_);_(* \(#,##0\);_(* "-"??_);_(@_)</c:formatCode>
                <c:ptCount val="5"/>
                <c:pt idx="0">
                  <c:v>7</c:v>
                </c:pt>
                <c:pt idx="1">
                  <c:v>27</c:v>
                </c:pt>
                <c:pt idx="2">
                  <c:v>0</c:v>
                </c:pt>
                <c:pt idx="3">
                  <c:v>0</c:v>
                </c:pt>
                <c:pt idx="4">
                  <c:v>2</c:v>
                </c:pt>
              </c:numCache>
            </c:numRef>
          </c:val>
          <c:extLst>
            <c:ext xmlns:c16="http://schemas.microsoft.com/office/drawing/2014/chart" uri="{C3380CC4-5D6E-409C-BE32-E72D297353CC}">
              <c16:uniqueId val="{00000008-5961-4F0A-B3BF-DF04FABE95CB}"/>
            </c:ext>
          </c:extLst>
        </c:ser>
        <c:dLbls>
          <c:dLblPos val="outEnd"/>
          <c:showLegendKey val="0"/>
          <c:showVal val="1"/>
          <c:showCatName val="0"/>
          <c:showSerName val="0"/>
          <c:showPercent val="0"/>
          <c:showBubbleSize val="0"/>
        </c:dLbls>
        <c:gapWidth val="100"/>
        <c:overlap val="-24"/>
        <c:axId val="698509295"/>
        <c:axId val="698515535"/>
      </c:barChart>
      <c:catAx>
        <c:axId val="69850929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698515535"/>
        <c:crosses val="autoZero"/>
        <c:auto val="1"/>
        <c:lblAlgn val="ctr"/>
        <c:lblOffset val="100"/>
        <c:noMultiLvlLbl val="0"/>
      </c:catAx>
      <c:valAx>
        <c:axId val="698515535"/>
        <c:scaling>
          <c:orientation val="minMax"/>
        </c:scaling>
        <c:delete val="1"/>
        <c:axPos val="l"/>
        <c:majorGridlines>
          <c:spPr>
            <a:ln w="9525" cap="flat" cmpd="sng" algn="ctr">
              <a:solidFill>
                <a:srgbClr val="E5B244">
                  <a:alpha val="34000"/>
                </a:srgbClr>
              </a:solidFill>
              <a:prstDash val="dashDot"/>
              <a:round/>
            </a:ln>
            <a:effectLst/>
          </c:spPr>
        </c:majorGridlines>
        <c:numFmt formatCode="_(* #,##0_);_(* \(#,##0\);_(* &quot;-&quot;??_);_(@_)" sourceLinked="1"/>
        <c:majorTickMark val="none"/>
        <c:minorTickMark val="none"/>
        <c:tickLblPos val="nextTo"/>
        <c:crossAx val="69850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Monitor.xlsx]Pivot tables!Region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lumMod val="9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tables'!$W$4</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bg1">
                        <a:lumMod val="9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tables'!$V$5:$V$10</c:f>
              <c:strCache>
                <c:ptCount val="5"/>
                <c:pt idx="0">
                  <c:v>Central</c:v>
                </c:pt>
                <c:pt idx="1">
                  <c:v>East</c:v>
                </c:pt>
                <c:pt idx="2">
                  <c:v>North</c:v>
                </c:pt>
                <c:pt idx="3">
                  <c:v>South</c:v>
                </c:pt>
                <c:pt idx="4">
                  <c:v>West</c:v>
                </c:pt>
              </c:strCache>
            </c:strRef>
          </c:cat>
          <c:val>
            <c:numRef>
              <c:f>'Pivot tables'!$W$5:$W$10</c:f>
              <c:numCache>
                <c:formatCode>General</c:formatCode>
                <c:ptCount val="5"/>
                <c:pt idx="0">
                  <c:v>3</c:v>
                </c:pt>
                <c:pt idx="1">
                  <c:v>1</c:v>
                </c:pt>
                <c:pt idx="2">
                  <c:v>2</c:v>
                </c:pt>
                <c:pt idx="3">
                  <c:v>2</c:v>
                </c:pt>
                <c:pt idx="4">
                  <c:v>1</c:v>
                </c:pt>
              </c:numCache>
            </c:numRef>
          </c:val>
          <c:extLst>
            <c:ext xmlns:c16="http://schemas.microsoft.com/office/drawing/2014/chart" uri="{C3380CC4-5D6E-409C-BE32-E72D297353CC}">
              <c16:uniqueId val="{00000000-7A50-4959-A069-EC5171E79C52}"/>
            </c:ext>
          </c:extLst>
        </c:ser>
        <c:dLbls>
          <c:dLblPos val="outEnd"/>
          <c:showLegendKey val="0"/>
          <c:showVal val="1"/>
          <c:showCatName val="0"/>
          <c:showSerName val="0"/>
          <c:showPercent val="0"/>
          <c:showBubbleSize val="0"/>
        </c:dLbls>
        <c:gapWidth val="39"/>
        <c:axId val="1178488223"/>
        <c:axId val="1178487743"/>
      </c:barChart>
      <c:catAx>
        <c:axId val="1178488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chemeClr val="bg1">
                    <a:lumMod val="95000"/>
                  </a:schemeClr>
                </a:solidFill>
                <a:latin typeface="Arial" panose="020B0604020202020204" pitchFamily="34" charset="0"/>
                <a:ea typeface="+mn-ea"/>
                <a:cs typeface="Arial" panose="020B0604020202020204" pitchFamily="34" charset="0"/>
              </a:defRPr>
            </a:pPr>
            <a:endParaRPr lang="en-US"/>
          </a:p>
        </c:txPr>
        <c:crossAx val="1178487743"/>
        <c:crosses val="autoZero"/>
        <c:auto val="1"/>
        <c:lblAlgn val="ctr"/>
        <c:lblOffset val="100"/>
        <c:noMultiLvlLbl val="0"/>
      </c:catAx>
      <c:valAx>
        <c:axId val="1178487743"/>
        <c:scaling>
          <c:orientation val="minMax"/>
        </c:scaling>
        <c:delete val="1"/>
        <c:axPos val="b"/>
        <c:numFmt formatCode="General" sourceLinked="1"/>
        <c:majorTickMark val="none"/>
        <c:minorTickMark val="none"/>
        <c:tickLblPos val="nextTo"/>
        <c:crossAx val="117848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900" b="0" i="0" u="none" strike="noStrike" kern="1200" baseline="0">
          <a:solidFill>
            <a:schemeClr val="bg1">
              <a:lumMod val="95000"/>
            </a:schemeClr>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image" Target="../media/image7.jpe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7.xml"/><Relationship Id="rId5" Type="http://schemas.openxmlformats.org/officeDocument/2006/relationships/chart" Target="../charts/chart5.xml"/><Relationship Id="rId15" Type="http://schemas.openxmlformats.org/officeDocument/2006/relationships/image" Target="../media/image6.svg"/><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206822</xdr:colOff>
      <xdr:row>0</xdr:row>
      <xdr:rowOff>77018</xdr:rowOff>
    </xdr:from>
    <xdr:to>
      <xdr:col>19</xdr:col>
      <xdr:colOff>466329</xdr:colOff>
      <xdr:row>36</xdr:row>
      <xdr:rowOff>135617</xdr:rowOff>
    </xdr:to>
    <xdr:sp macro="" textlink="">
      <xdr:nvSpPr>
        <xdr:cNvPr id="2" name="Rectangle: Rounded Corners 1">
          <a:extLst>
            <a:ext uri="{FF2B5EF4-FFF2-40B4-BE49-F238E27FC236}">
              <a16:creationId xmlns:a16="http://schemas.microsoft.com/office/drawing/2014/main" id="{97DA4D98-27FC-5DF8-7E91-3C739F2225C7}"/>
            </a:ext>
          </a:extLst>
        </xdr:cNvPr>
        <xdr:cNvSpPr/>
      </xdr:nvSpPr>
      <xdr:spPr>
        <a:xfrm>
          <a:off x="206822" y="77018"/>
          <a:ext cx="11758960" cy="6487974"/>
        </a:xfrm>
        <a:prstGeom prst="roundRect">
          <a:avLst>
            <a:gd name="adj" fmla="val 1215"/>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478156</xdr:colOff>
      <xdr:row>23</xdr:row>
      <xdr:rowOff>148828</xdr:rowOff>
    </xdr:from>
    <xdr:to>
      <xdr:col>4</xdr:col>
      <xdr:colOff>209867</xdr:colOff>
      <xdr:row>35</xdr:row>
      <xdr:rowOff>107236</xdr:rowOff>
    </xdr:to>
    <xdr:sp macro="" textlink="">
      <xdr:nvSpPr>
        <xdr:cNvPr id="4" name="Rectangle: Rounded Corners 3">
          <a:extLst>
            <a:ext uri="{FF2B5EF4-FFF2-40B4-BE49-F238E27FC236}">
              <a16:creationId xmlns:a16="http://schemas.microsoft.com/office/drawing/2014/main" id="{CFF70475-599C-64AB-7B0E-3BAF2C4A960E}"/>
            </a:ext>
          </a:extLst>
        </xdr:cNvPr>
        <xdr:cNvSpPr/>
      </xdr:nvSpPr>
      <xdr:spPr>
        <a:xfrm>
          <a:off x="478156" y="4256484"/>
          <a:ext cx="2152649" cy="2101533"/>
        </a:xfrm>
        <a:prstGeom prst="roundRect">
          <a:avLst>
            <a:gd name="adj" fmla="val 190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466330</xdr:colOff>
      <xdr:row>6</xdr:row>
      <xdr:rowOff>63340</xdr:rowOff>
    </xdr:from>
    <xdr:to>
      <xdr:col>4</xdr:col>
      <xdr:colOff>207566</xdr:colOff>
      <xdr:row>23</xdr:row>
      <xdr:rowOff>9525</xdr:rowOff>
    </xdr:to>
    <xdr:sp macro="" textlink="">
      <xdr:nvSpPr>
        <xdr:cNvPr id="5" name="Rectangle: Rounded Corners 4">
          <a:extLst>
            <a:ext uri="{FF2B5EF4-FFF2-40B4-BE49-F238E27FC236}">
              <a16:creationId xmlns:a16="http://schemas.microsoft.com/office/drawing/2014/main" id="{9FA715EB-3718-F672-DDAC-10BA3E7C3F40}"/>
            </a:ext>
          </a:extLst>
        </xdr:cNvPr>
        <xdr:cNvSpPr/>
      </xdr:nvSpPr>
      <xdr:spPr>
        <a:xfrm>
          <a:off x="466330" y="1134903"/>
          <a:ext cx="2162174" cy="2982278"/>
        </a:xfrm>
        <a:prstGeom prst="roundRect">
          <a:avLst>
            <a:gd name="adj" fmla="val 190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593208</xdr:colOff>
      <xdr:row>21</xdr:row>
      <xdr:rowOff>55722</xdr:rowOff>
    </xdr:from>
    <xdr:to>
      <xdr:col>9</xdr:col>
      <xdr:colOff>211971</xdr:colOff>
      <xdr:row>35</xdr:row>
      <xdr:rowOff>120969</xdr:rowOff>
    </xdr:to>
    <xdr:sp macro="" textlink="">
      <xdr:nvSpPr>
        <xdr:cNvPr id="6" name="Rectangle: Rounded Corners 5">
          <a:extLst>
            <a:ext uri="{FF2B5EF4-FFF2-40B4-BE49-F238E27FC236}">
              <a16:creationId xmlns:a16="http://schemas.microsoft.com/office/drawing/2014/main" id="{5518DAAD-50D1-6111-963F-05F3604194C5}"/>
            </a:ext>
          </a:extLst>
        </xdr:cNvPr>
        <xdr:cNvSpPr/>
      </xdr:nvSpPr>
      <xdr:spPr>
        <a:xfrm>
          <a:off x="3014146" y="3806191"/>
          <a:ext cx="2644934" cy="2565559"/>
        </a:xfrm>
        <a:prstGeom prst="roundRect">
          <a:avLst>
            <a:gd name="adj" fmla="val 190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553323</xdr:colOff>
      <xdr:row>21</xdr:row>
      <xdr:rowOff>1</xdr:rowOff>
    </xdr:from>
    <xdr:to>
      <xdr:col>14</xdr:col>
      <xdr:colOff>160655</xdr:colOff>
      <xdr:row>35</xdr:row>
      <xdr:rowOff>87153</xdr:rowOff>
    </xdr:to>
    <xdr:sp macro="" textlink="">
      <xdr:nvSpPr>
        <xdr:cNvPr id="9" name="Rectangle: Rounded Corners 8">
          <a:extLst>
            <a:ext uri="{FF2B5EF4-FFF2-40B4-BE49-F238E27FC236}">
              <a16:creationId xmlns:a16="http://schemas.microsoft.com/office/drawing/2014/main" id="{B7BF05DD-AD00-F273-1DEA-C6C02F58B08B}"/>
            </a:ext>
          </a:extLst>
        </xdr:cNvPr>
        <xdr:cNvSpPr/>
      </xdr:nvSpPr>
      <xdr:spPr>
        <a:xfrm>
          <a:off x="6000432" y="3750470"/>
          <a:ext cx="2633504" cy="2587464"/>
        </a:xfrm>
        <a:prstGeom prst="roundRect">
          <a:avLst>
            <a:gd name="adj" fmla="val 190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529669</xdr:colOff>
      <xdr:row>6</xdr:row>
      <xdr:rowOff>171450</xdr:rowOff>
    </xdr:from>
    <xdr:to>
      <xdr:col>14</xdr:col>
      <xdr:colOff>135096</xdr:colOff>
      <xdr:row>20</xdr:row>
      <xdr:rowOff>59688</xdr:rowOff>
    </xdr:to>
    <xdr:sp macro="" textlink="">
      <xdr:nvSpPr>
        <xdr:cNvPr id="10" name="Rectangle: Rounded Corners 9">
          <a:extLst>
            <a:ext uri="{FF2B5EF4-FFF2-40B4-BE49-F238E27FC236}">
              <a16:creationId xmlns:a16="http://schemas.microsoft.com/office/drawing/2014/main" id="{0E022AAC-35D2-A3E3-6A2D-CAE5E84BD40A}"/>
            </a:ext>
          </a:extLst>
        </xdr:cNvPr>
        <xdr:cNvSpPr/>
      </xdr:nvSpPr>
      <xdr:spPr>
        <a:xfrm>
          <a:off x="6016069" y="1257300"/>
          <a:ext cx="2653427" cy="2421888"/>
        </a:xfrm>
        <a:prstGeom prst="roundRect">
          <a:avLst>
            <a:gd name="adj" fmla="val 190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600272</xdr:colOff>
      <xdr:row>6</xdr:row>
      <xdr:rowOff>69454</xdr:rowOff>
    </xdr:from>
    <xdr:to>
      <xdr:col>9</xdr:col>
      <xdr:colOff>209510</xdr:colOff>
      <xdr:row>13</xdr:row>
      <xdr:rowOff>11828</xdr:rowOff>
    </xdr:to>
    <xdr:sp macro="" textlink="">
      <xdr:nvSpPr>
        <xdr:cNvPr id="11" name="Rectangle: Rounded Corners 10">
          <a:extLst>
            <a:ext uri="{FF2B5EF4-FFF2-40B4-BE49-F238E27FC236}">
              <a16:creationId xmlns:a16="http://schemas.microsoft.com/office/drawing/2014/main" id="{95C299AD-25C1-B05A-EE33-F9ED3D5A716E}"/>
            </a:ext>
          </a:extLst>
        </xdr:cNvPr>
        <xdr:cNvSpPr/>
      </xdr:nvSpPr>
      <xdr:spPr>
        <a:xfrm>
          <a:off x="3021210" y="1141017"/>
          <a:ext cx="2635409" cy="1192530"/>
        </a:xfrm>
        <a:prstGeom prst="roundRect">
          <a:avLst>
            <a:gd name="adj" fmla="val 190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10676</xdr:colOff>
      <xdr:row>14</xdr:row>
      <xdr:rowOff>1905</xdr:rowOff>
    </xdr:from>
    <xdr:to>
      <xdr:col>6</xdr:col>
      <xdr:colOff>579280</xdr:colOff>
      <xdr:row>20</xdr:row>
      <xdr:rowOff>89298</xdr:rowOff>
    </xdr:to>
    <xdr:sp macro="" textlink="">
      <xdr:nvSpPr>
        <xdr:cNvPr id="12" name="Rectangle: Rounded Corners 11">
          <a:extLst>
            <a:ext uri="{FF2B5EF4-FFF2-40B4-BE49-F238E27FC236}">
              <a16:creationId xmlns:a16="http://schemas.microsoft.com/office/drawing/2014/main" id="{74C0509D-F245-0CCA-5796-FD3F065401B3}"/>
            </a:ext>
          </a:extLst>
        </xdr:cNvPr>
        <xdr:cNvSpPr/>
      </xdr:nvSpPr>
      <xdr:spPr>
        <a:xfrm>
          <a:off x="3036848" y="2502218"/>
          <a:ext cx="1173838" cy="1158955"/>
        </a:xfrm>
        <a:prstGeom prst="roundRect">
          <a:avLst>
            <a:gd name="adj" fmla="val 190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211414</xdr:colOff>
      <xdr:row>13</xdr:row>
      <xdr:rowOff>162560</xdr:rowOff>
    </xdr:from>
    <xdr:to>
      <xdr:col>9</xdr:col>
      <xdr:colOff>174784</xdr:colOff>
      <xdr:row>20</xdr:row>
      <xdr:rowOff>77074</xdr:rowOff>
    </xdr:to>
    <xdr:sp macro="" textlink="">
      <xdr:nvSpPr>
        <xdr:cNvPr id="13" name="Rectangle: Rounded Corners 12">
          <a:extLst>
            <a:ext uri="{FF2B5EF4-FFF2-40B4-BE49-F238E27FC236}">
              <a16:creationId xmlns:a16="http://schemas.microsoft.com/office/drawing/2014/main" id="{C2FFADFC-6F2A-C912-1B99-EC39395BAC51}"/>
            </a:ext>
          </a:extLst>
        </xdr:cNvPr>
        <xdr:cNvSpPr/>
      </xdr:nvSpPr>
      <xdr:spPr>
        <a:xfrm>
          <a:off x="4448055" y="2484279"/>
          <a:ext cx="1173838" cy="1164670"/>
        </a:xfrm>
        <a:prstGeom prst="roundRect">
          <a:avLst>
            <a:gd name="adj" fmla="val 190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529669</xdr:colOff>
      <xdr:row>28</xdr:row>
      <xdr:rowOff>107574</xdr:rowOff>
    </xdr:from>
    <xdr:to>
      <xdr:col>16</xdr:col>
      <xdr:colOff>542183</xdr:colOff>
      <xdr:row>35</xdr:row>
      <xdr:rowOff>82735</xdr:rowOff>
    </xdr:to>
    <xdr:sp macro="" textlink="">
      <xdr:nvSpPr>
        <xdr:cNvPr id="14" name="Rectangle: Rounded Corners 13">
          <a:extLst>
            <a:ext uri="{FF2B5EF4-FFF2-40B4-BE49-F238E27FC236}">
              <a16:creationId xmlns:a16="http://schemas.microsoft.com/office/drawing/2014/main" id="{10F79255-EB5B-18D9-B5F3-7DD3CF61ADAA}"/>
            </a:ext>
          </a:extLst>
        </xdr:cNvPr>
        <xdr:cNvSpPr/>
      </xdr:nvSpPr>
      <xdr:spPr>
        <a:xfrm>
          <a:off x="9002950" y="5108199"/>
          <a:ext cx="1222983" cy="1225317"/>
        </a:xfrm>
        <a:prstGeom prst="roundRect">
          <a:avLst>
            <a:gd name="adj" fmla="val 190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239171</xdr:colOff>
      <xdr:row>28</xdr:row>
      <xdr:rowOff>137360</xdr:rowOff>
    </xdr:from>
    <xdr:to>
      <xdr:col>19</xdr:col>
      <xdr:colOff>245744</xdr:colOff>
      <xdr:row>35</xdr:row>
      <xdr:rowOff>97472</xdr:rowOff>
    </xdr:to>
    <xdr:sp macro="" textlink="">
      <xdr:nvSpPr>
        <xdr:cNvPr id="15" name="Rectangle: Rounded Corners 14">
          <a:extLst>
            <a:ext uri="{FF2B5EF4-FFF2-40B4-BE49-F238E27FC236}">
              <a16:creationId xmlns:a16="http://schemas.microsoft.com/office/drawing/2014/main" id="{8E4EFB27-8127-F880-BB18-6E0C62616B73}"/>
            </a:ext>
          </a:extLst>
        </xdr:cNvPr>
        <xdr:cNvSpPr/>
      </xdr:nvSpPr>
      <xdr:spPr>
        <a:xfrm>
          <a:off x="10528155" y="5137985"/>
          <a:ext cx="1217042" cy="1210268"/>
        </a:xfrm>
        <a:prstGeom prst="roundRect">
          <a:avLst>
            <a:gd name="adj" fmla="val 190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222833</xdr:colOff>
      <xdr:row>20</xdr:row>
      <xdr:rowOff>120969</xdr:rowOff>
    </xdr:from>
    <xdr:to>
      <xdr:col>19</xdr:col>
      <xdr:colOff>235347</xdr:colOff>
      <xdr:row>27</xdr:row>
      <xdr:rowOff>88428</xdr:rowOff>
    </xdr:to>
    <xdr:sp macro="" textlink="">
      <xdr:nvSpPr>
        <xdr:cNvPr id="16" name="Rectangle: Rounded Corners 15">
          <a:extLst>
            <a:ext uri="{FF2B5EF4-FFF2-40B4-BE49-F238E27FC236}">
              <a16:creationId xmlns:a16="http://schemas.microsoft.com/office/drawing/2014/main" id="{F991035F-F120-CC6A-38AD-2C1F3BDD5C62}"/>
            </a:ext>
          </a:extLst>
        </xdr:cNvPr>
        <xdr:cNvSpPr/>
      </xdr:nvSpPr>
      <xdr:spPr>
        <a:xfrm>
          <a:off x="10511817" y="3692844"/>
          <a:ext cx="1222983" cy="1217615"/>
        </a:xfrm>
        <a:prstGeom prst="roundRect">
          <a:avLst>
            <a:gd name="adj" fmla="val 190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436563</xdr:colOff>
      <xdr:row>8</xdr:row>
      <xdr:rowOff>149213</xdr:rowOff>
    </xdr:from>
    <xdr:to>
      <xdr:col>19</xdr:col>
      <xdr:colOff>107236</xdr:colOff>
      <xdr:row>18</xdr:row>
      <xdr:rowOff>57229</xdr:rowOff>
    </xdr:to>
    <xdr:sp macro="" textlink="">
      <xdr:nvSpPr>
        <xdr:cNvPr id="18" name="Rectangle: Rounded Corners 17">
          <a:extLst>
            <a:ext uri="{FF2B5EF4-FFF2-40B4-BE49-F238E27FC236}">
              <a16:creationId xmlns:a16="http://schemas.microsoft.com/office/drawing/2014/main" id="{B4F14CD5-E07F-BA17-99FB-7C38D3B33A7F}"/>
            </a:ext>
          </a:extLst>
        </xdr:cNvPr>
        <xdr:cNvSpPr/>
      </xdr:nvSpPr>
      <xdr:spPr>
        <a:xfrm>
          <a:off x="8909844" y="1577963"/>
          <a:ext cx="2696845" cy="1693954"/>
        </a:xfrm>
        <a:prstGeom prst="roundRect">
          <a:avLst>
            <a:gd name="adj" fmla="val 190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434658</xdr:colOff>
      <xdr:row>1</xdr:row>
      <xdr:rowOff>49609</xdr:rowOff>
    </xdr:from>
    <xdr:to>
      <xdr:col>19</xdr:col>
      <xdr:colOff>101521</xdr:colOff>
      <xdr:row>8</xdr:row>
      <xdr:rowOff>11430</xdr:rowOff>
    </xdr:to>
    <xdr:sp macro="" textlink="">
      <xdr:nvSpPr>
        <xdr:cNvPr id="19" name="Rectangle: Rounded Corners 18">
          <a:extLst>
            <a:ext uri="{FF2B5EF4-FFF2-40B4-BE49-F238E27FC236}">
              <a16:creationId xmlns:a16="http://schemas.microsoft.com/office/drawing/2014/main" id="{05BEC929-F930-F100-3E77-899E5E18DDB0}"/>
            </a:ext>
          </a:extLst>
        </xdr:cNvPr>
        <xdr:cNvSpPr/>
      </xdr:nvSpPr>
      <xdr:spPr>
        <a:xfrm>
          <a:off x="8907939" y="228203"/>
          <a:ext cx="2693035" cy="1211977"/>
        </a:xfrm>
        <a:prstGeom prst="roundRect">
          <a:avLst>
            <a:gd name="adj" fmla="val 190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254159</xdr:colOff>
      <xdr:row>20</xdr:row>
      <xdr:rowOff>162559</xdr:rowOff>
    </xdr:from>
    <xdr:to>
      <xdr:col>18</xdr:col>
      <xdr:colOff>549513</xdr:colOff>
      <xdr:row>24</xdr:row>
      <xdr:rowOff>162956</xdr:rowOff>
    </xdr:to>
    <xdr:sp macro="" textlink="">
      <xdr:nvSpPr>
        <xdr:cNvPr id="21" name="TextBox 20">
          <a:extLst>
            <a:ext uri="{FF2B5EF4-FFF2-40B4-BE49-F238E27FC236}">
              <a16:creationId xmlns:a16="http://schemas.microsoft.com/office/drawing/2014/main" id="{39039D13-297E-BE79-A232-9ADF24CC2792}"/>
            </a:ext>
          </a:extLst>
        </xdr:cNvPr>
        <xdr:cNvSpPr txBox="1"/>
      </xdr:nvSpPr>
      <xdr:spPr>
        <a:xfrm>
          <a:off x="10543143" y="3734434"/>
          <a:ext cx="900589" cy="714772"/>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solidFill>
                <a:schemeClr val="bg1">
                  <a:lumMod val="95000"/>
                </a:schemeClr>
              </a:solidFill>
            </a:rPr>
            <a:t>Part</a:t>
          </a:r>
        </a:p>
        <a:p>
          <a:pPr algn="l"/>
          <a:r>
            <a:rPr lang="en-IN" sz="1100">
              <a:solidFill>
                <a:schemeClr val="bg1">
                  <a:lumMod val="95000"/>
                </a:schemeClr>
              </a:solidFill>
            </a:rPr>
            <a:t>time</a:t>
          </a:r>
        </a:p>
        <a:p>
          <a:pPr algn="l"/>
          <a:r>
            <a:rPr lang="en-IN" sz="1100">
              <a:solidFill>
                <a:schemeClr val="bg1">
                  <a:lumMod val="95000"/>
                </a:schemeClr>
              </a:solidFill>
            </a:rPr>
            <a:t>employees</a:t>
          </a:r>
        </a:p>
      </xdr:txBody>
    </xdr:sp>
    <xdr:clientData/>
  </xdr:twoCellAnchor>
  <xdr:twoCellAnchor>
    <xdr:from>
      <xdr:col>17</xdr:col>
      <xdr:colOff>257970</xdr:colOff>
      <xdr:row>24</xdr:row>
      <xdr:rowOff>17541</xdr:rowOff>
    </xdr:from>
    <xdr:to>
      <xdr:col>19</xdr:col>
      <xdr:colOff>200343</xdr:colOff>
      <xdr:row>27</xdr:row>
      <xdr:rowOff>81280</xdr:rowOff>
    </xdr:to>
    <xdr:sp macro="" textlink="'Pivot tables'!C14">
      <xdr:nvSpPr>
        <xdr:cNvPr id="24" name="TextBox 23">
          <a:extLst>
            <a:ext uri="{FF2B5EF4-FFF2-40B4-BE49-F238E27FC236}">
              <a16:creationId xmlns:a16="http://schemas.microsoft.com/office/drawing/2014/main" id="{05ADBFB1-D687-5509-BA25-43765AFC37E3}"/>
            </a:ext>
          </a:extLst>
        </xdr:cNvPr>
        <xdr:cNvSpPr txBox="1"/>
      </xdr:nvSpPr>
      <xdr:spPr>
        <a:xfrm>
          <a:off x="10546954" y="4303791"/>
          <a:ext cx="1152842" cy="599520"/>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8678982F-1FC3-4708-A40B-23F3C115BA57}" type="TxLink">
            <a:rPr lang="en-US" sz="3200" b="1" i="0" u="none" strike="noStrike">
              <a:ln>
                <a:noFill/>
              </a:ln>
              <a:solidFill>
                <a:schemeClr val="bg1">
                  <a:lumMod val="95000"/>
                </a:schemeClr>
              </a:solidFill>
              <a:latin typeface="Arial"/>
              <a:cs typeface="Arial"/>
            </a:rPr>
            <a:pPr algn="r"/>
            <a:t>1</a:t>
          </a:fld>
          <a:endParaRPr lang="en-IN" sz="3200" b="1">
            <a:ln>
              <a:noFill/>
            </a:ln>
            <a:solidFill>
              <a:schemeClr val="bg1">
                <a:lumMod val="95000"/>
              </a:schemeClr>
            </a:solidFill>
          </a:endParaRPr>
        </a:p>
      </xdr:txBody>
    </xdr:sp>
    <xdr:clientData/>
  </xdr:twoCellAnchor>
  <xdr:twoCellAnchor>
    <xdr:from>
      <xdr:col>17</xdr:col>
      <xdr:colOff>307578</xdr:colOff>
      <xdr:row>28</xdr:row>
      <xdr:rowOff>117157</xdr:rowOff>
    </xdr:from>
    <xdr:to>
      <xdr:col>19</xdr:col>
      <xdr:colOff>109141</xdr:colOff>
      <xdr:row>32</xdr:row>
      <xdr:rowOff>134699</xdr:rowOff>
    </xdr:to>
    <xdr:sp macro="" textlink="">
      <xdr:nvSpPr>
        <xdr:cNvPr id="25" name="TextBox 24">
          <a:extLst>
            <a:ext uri="{FF2B5EF4-FFF2-40B4-BE49-F238E27FC236}">
              <a16:creationId xmlns:a16="http://schemas.microsoft.com/office/drawing/2014/main" id="{76050520-043B-379F-8790-8E3C98204F1C}"/>
            </a:ext>
          </a:extLst>
        </xdr:cNvPr>
        <xdr:cNvSpPr txBox="1"/>
      </xdr:nvSpPr>
      <xdr:spPr>
        <a:xfrm>
          <a:off x="10596562" y="5117782"/>
          <a:ext cx="1012032" cy="731917"/>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rPr>
            <a:t>Full</a:t>
          </a:r>
        </a:p>
        <a:p>
          <a:r>
            <a:rPr lang="en-IN" sz="1100">
              <a:solidFill>
                <a:schemeClr val="bg1">
                  <a:lumMod val="95000"/>
                </a:schemeClr>
              </a:solidFill>
            </a:rPr>
            <a:t>time</a:t>
          </a:r>
        </a:p>
        <a:p>
          <a:r>
            <a:rPr lang="en-IN" sz="1100">
              <a:solidFill>
                <a:schemeClr val="bg1">
                  <a:lumMod val="95000"/>
                </a:schemeClr>
              </a:solidFill>
            </a:rPr>
            <a:t>employees</a:t>
          </a:r>
        </a:p>
      </xdr:txBody>
    </xdr:sp>
    <xdr:clientData/>
  </xdr:twoCellAnchor>
  <xdr:twoCellAnchor>
    <xdr:from>
      <xdr:col>17</xdr:col>
      <xdr:colOff>287735</xdr:colOff>
      <xdr:row>32</xdr:row>
      <xdr:rowOff>17541</xdr:rowOff>
    </xdr:from>
    <xdr:to>
      <xdr:col>19</xdr:col>
      <xdr:colOff>230108</xdr:colOff>
      <xdr:row>35</xdr:row>
      <xdr:rowOff>81280</xdr:rowOff>
    </xdr:to>
    <xdr:sp macro="" textlink="'Pivot tables'!C13">
      <xdr:nvSpPr>
        <xdr:cNvPr id="26" name="TextBox 25">
          <a:extLst>
            <a:ext uri="{FF2B5EF4-FFF2-40B4-BE49-F238E27FC236}">
              <a16:creationId xmlns:a16="http://schemas.microsoft.com/office/drawing/2014/main" id="{79D62BDF-0765-7857-7C71-73B086061C5F}"/>
            </a:ext>
          </a:extLst>
        </xdr:cNvPr>
        <xdr:cNvSpPr txBox="1"/>
      </xdr:nvSpPr>
      <xdr:spPr>
        <a:xfrm>
          <a:off x="10576719" y="5732541"/>
          <a:ext cx="1152842" cy="599520"/>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BFEE53C-36F1-4DE4-A60C-5D498D9EE2F1}" type="TxLink">
            <a:rPr lang="en-US" sz="3200" b="1" i="0" u="none" strike="noStrike">
              <a:ln>
                <a:noFill/>
              </a:ln>
              <a:solidFill>
                <a:schemeClr val="bg1">
                  <a:lumMod val="95000"/>
                </a:schemeClr>
              </a:solidFill>
              <a:latin typeface="Arial"/>
              <a:ea typeface="+mn-ea"/>
              <a:cs typeface="Arial"/>
            </a:rPr>
            <a:pPr marL="0" indent="0" algn="r"/>
            <a:t>5</a:t>
          </a:fld>
          <a:endParaRPr lang="en-IN" sz="3200" b="1" i="0" u="none" strike="noStrike">
            <a:ln>
              <a:noFill/>
            </a:ln>
            <a:solidFill>
              <a:schemeClr val="bg1">
                <a:lumMod val="95000"/>
              </a:schemeClr>
            </a:solidFill>
            <a:latin typeface="Arial"/>
            <a:ea typeface="+mn-ea"/>
            <a:cs typeface="Arial"/>
          </a:endParaRPr>
        </a:p>
      </xdr:txBody>
    </xdr:sp>
    <xdr:clientData/>
  </xdr:twoCellAnchor>
  <xdr:twoCellAnchor>
    <xdr:from>
      <xdr:col>14</xdr:col>
      <xdr:colOff>565547</xdr:colOff>
      <xdr:row>28</xdr:row>
      <xdr:rowOff>117157</xdr:rowOff>
    </xdr:from>
    <xdr:to>
      <xdr:col>16</xdr:col>
      <xdr:colOff>365205</xdr:colOff>
      <xdr:row>32</xdr:row>
      <xdr:rowOff>130889</xdr:rowOff>
    </xdr:to>
    <xdr:sp macro="" textlink="">
      <xdr:nvSpPr>
        <xdr:cNvPr id="27" name="TextBox 26">
          <a:extLst>
            <a:ext uri="{FF2B5EF4-FFF2-40B4-BE49-F238E27FC236}">
              <a16:creationId xmlns:a16="http://schemas.microsoft.com/office/drawing/2014/main" id="{8A6EF738-F937-C983-383A-94C368E9A35D}"/>
            </a:ext>
          </a:extLst>
        </xdr:cNvPr>
        <xdr:cNvSpPr txBox="1"/>
      </xdr:nvSpPr>
      <xdr:spPr>
        <a:xfrm>
          <a:off x="9038828" y="5117782"/>
          <a:ext cx="1010127" cy="728107"/>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rPr>
            <a:t>Employees</a:t>
          </a:r>
        </a:p>
        <a:p>
          <a:r>
            <a:rPr lang="en-IN" sz="1100">
              <a:solidFill>
                <a:schemeClr val="bg1">
                  <a:lumMod val="95000"/>
                </a:schemeClr>
              </a:solidFill>
            </a:rPr>
            <a:t>with</a:t>
          </a:r>
          <a:r>
            <a:rPr lang="en-IN" sz="1100" baseline="0">
              <a:solidFill>
                <a:schemeClr val="bg1">
                  <a:lumMod val="95000"/>
                </a:schemeClr>
              </a:solidFill>
            </a:rPr>
            <a:t> </a:t>
          </a:r>
        </a:p>
        <a:p>
          <a:r>
            <a:rPr lang="en-IN" sz="1100" baseline="0">
              <a:solidFill>
                <a:schemeClr val="bg1">
                  <a:lumMod val="95000"/>
                </a:schemeClr>
              </a:solidFill>
            </a:rPr>
            <a:t>contracts</a:t>
          </a:r>
          <a:endParaRPr lang="en-IN" sz="1100">
            <a:solidFill>
              <a:schemeClr val="bg1">
                <a:lumMod val="95000"/>
              </a:schemeClr>
            </a:solidFill>
          </a:endParaRPr>
        </a:p>
      </xdr:txBody>
    </xdr:sp>
    <xdr:clientData/>
  </xdr:twoCellAnchor>
  <xdr:twoCellAnchor>
    <xdr:from>
      <xdr:col>14</xdr:col>
      <xdr:colOff>541894</xdr:colOff>
      <xdr:row>32</xdr:row>
      <xdr:rowOff>21351</xdr:rowOff>
    </xdr:from>
    <xdr:to>
      <xdr:col>16</xdr:col>
      <xdr:colOff>488077</xdr:colOff>
      <xdr:row>35</xdr:row>
      <xdr:rowOff>83185</xdr:rowOff>
    </xdr:to>
    <xdr:sp macro="" textlink="'Pivot tables'!C12">
      <xdr:nvSpPr>
        <xdr:cNvPr id="28" name="TextBox 27">
          <a:extLst>
            <a:ext uri="{FF2B5EF4-FFF2-40B4-BE49-F238E27FC236}">
              <a16:creationId xmlns:a16="http://schemas.microsoft.com/office/drawing/2014/main" id="{16FDBAF2-8E2E-2EF2-7960-A7C99C05E997}"/>
            </a:ext>
          </a:extLst>
        </xdr:cNvPr>
        <xdr:cNvSpPr txBox="1"/>
      </xdr:nvSpPr>
      <xdr:spPr>
        <a:xfrm>
          <a:off x="9015175" y="5736351"/>
          <a:ext cx="1156652" cy="597615"/>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D3A9EBA-AD29-4F83-B01A-3D05F72564C3}" type="TxLink">
            <a:rPr lang="en-US" sz="3200" b="1" i="0" u="none" strike="noStrike">
              <a:ln>
                <a:noFill/>
              </a:ln>
              <a:solidFill>
                <a:schemeClr val="bg1">
                  <a:lumMod val="95000"/>
                </a:schemeClr>
              </a:solidFill>
              <a:latin typeface="Arial"/>
              <a:ea typeface="+mn-ea"/>
              <a:cs typeface="Arial"/>
            </a:rPr>
            <a:pPr marL="0" indent="0" algn="r"/>
            <a:t>3</a:t>
          </a:fld>
          <a:endParaRPr lang="en-IN" sz="3200" b="1" i="0" u="none" strike="noStrike">
            <a:ln>
              <a:noFill/>
            </a:ln>
            <a:solidFill>
              <a:schemeClr val="bg1">
                <a:lumMod val="95000"/>
              </a:schemeClr>
            </a:solidFill>
            <a:latin typeface="Arial"/>
            <a:ea typeface="+mn-ea"/>
            <a:cs typeface="Arial"/>
          </a:endParaRPr>
        </a:p>
      </xdr:txBody>
    </xdr:sp>
    <xdr:clientData/>
  </xdr:twoCellAnchor>
  <xdr:twoCellAnchor>
    <xdr:from>
      <xdr:col>9</xdr:col>
      <xdr:colOff>549908</xdr:colOff>
      <xdr:row>24</xdr:row>
      <xdr:rowOff>27862</xdr:rowOff>
    </xdr:from>
    <xdr:to>
      <xdr:col>11</xdr:col>
      <xdr:colOff>589595</xdr:colOff>
      <xdr:row>26</xdr:row>
      <xdr:rowOff>61040</xdr:rowOff>
    </xdr:to>
    <xdr:sp macro="" textlink="">
      <xdr:nvSpPr>
        <xdr:cNvPr id="29" name="TextBox 28">
          <a:extLst>
            <a:ext uri="{FF2B5EF4-FFF2-40B4-BE49-F238E27FC236}">
              <a16:creationId xmlns:a16="http://schemas.microsoft.com/office/drawing/2014/main" id="{A21F19BE-FC2F-DCA2-540F-EB7E3CE792CF}"/>
            </a:ext>
          </a:extLst>
        </xdr:cNvPr>
        <xdr:cNvSpPr txBox="1"/>
      </xdr:nvSpPr>
      <xdr:spPr>
        <a:xfrm>
          <a:off x="5997017" y="4314112"/>
          <a:ext cx="1250156" cy="390366"/>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chemeClr val="bg1">
                  <a:lumMod val="95000"/>
                </a:schemeClr>
              </a:solidFill>
            </a:rPr>
            <a:t>Total</a:t>
          </a:r>
          <a:r>
            <a:rPr lang="en-IN" sz="1400" b="1" baseline="0">
              <a:solidFill>
                <a:schemeClr val="bg1">
                  <a:lumMod val="95000"/>
                </a:schemeClr>
              </a:solidFill>
            </a:rPr>
            <a:t> Salaries</a:t>
          </a:r>
          <a:endParaRPr lang="en-IN" sz="1400" b="1">
            <a:solidFill>
              <a:schemeClr val="bg1">
                <a:lumMod val="95000"/>
              </a:schemeClr>
            </a:solidFill>
          </a:endParaRPr>
        </a:p>
      </xdr:txBody>
    </xdr:sp>
    <xdr:clientData/>
  </xdr:twoCellAnchor>
  <xdr:twoCellAnchor>
    <xdr:from>
      <xdr:col>9</xdr:col>
      <xdr:colOff>552210</xdr:colOff>
      <xdr:row>25</xdr:row>
      <xdr:rowOff>154545</xdr:rowOff>
    </xdr:from>
    <xdr:to>
      <xdr:col>11</xdr:col>
      <xdr:colOff>589992</xdr:colOff>
      <xdr:row>27</xdr:row>
      <xdr:rowOff>151529</xdr:rowOff>
    </xdr:to>
    <xdr:sp macro="" textlink="">
      <xdr:nvSpPr>
        <xdr:cNvPr id="36" name="TextBox 35">
          <a:extLst>
            <a:ext uri="{FF2B5EF4-FFF2-40B4-BE49-F238E27FC236}">
              <a16:creationId xmlns:a16="http://schemas.microsoft.com/office/drawing/2014/main" id="{DED05B8D-7DC1-AEE4-83B5-16A7B5CAEEE8}"/>
            </a:ext>
          </a:extLst>
        </xdr:cNvPr>
        <xdr:cNvSpPr txBox="1"/>
      </xdr:nvSpPr>
      <xdr:spPr>
        <a:xfrm>
          <a:off x="5999319" y="4619389"/>
          <a:ext cx="1248251" cy="354171"/>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100">
              <a:solidFill>
                <a:schemeClr val="bg1">
                  <a:lumMod val="95000"/>
                </a:schemeClr>
              </a:solidFill>
              <a:latin typeface="+mn-lt"/>
              <a:ea typeface="+mn-ea"/>
              <a:cs typeface="+mn-cs"/>
            </a:rPr>
            <a:t>Managers</a:t>
          </a:r>
        </a:p>
        <a:p>
          <a:pPr marL="0" indent="0" algn="l"/>
          <a:endParaRPr lang="en-IN" sz="1100">
            <a:solidFill>
              <a:schemeClr val="bg1">
                <a:lumMod val="95000"/>
              </a:schemeClr>
            </a:solidFill>
            <a:latin typeface="+mn-lt"/>
            <a:ea typeface="+mn-ea"/>
            <a:cs typeface="+mn-cs"/>
          </a:endParaRPr>
        </a:p>
      </xdr:txBody>
    </xdr:sp>
    <xdr:clientData/>
  </xdr:twoCellAnchor>
  <xdr:twoCellAnchor>
    <xdr:from>
      <xdr:col>9</xdr:col>
      <xdr:colOff>556020</xdr:colOff>
      <xdr:row>27</xdr:row>
      <xdr:rowOff>105333</xdr:rowOff>
    </xdr:from>
    <xdr:to>
      <xdr:col>11</xdr:col>
      <xdr:colOff>588087</xdr:colOff>
      <xdr:row>29</xdr:row>
      <xdr:rowOff>115651</xdr:rowOff>
    </xdr:to>
    <xdr:sp macro="" textlink="">
      <xdr:nvSpPr>
        <xdr:cNvPr id="37" name="TextBox 36">
          <a:extLst>
            <a:ext uri="{FF2B5EF4-FFF2-40B4-BE49-F238E27FC236}">
              <a16:creationId xmlns:a16="http://schemas.microsoft.com/office/drawing/2014/main" id="{CDA67736-1D4B-70BC-0754-16F3222CEC07}"/>
            </a:ext>
          </a:extLst>
        </xdr:cNvPr>
        <xdr:cNvSpPr txBox="1"/>
      </xdr:nvSpPr>
      <xdr:spPr>
        <a:xfrm>
          <a:off x="6003129" y="4927364"/>
          <a:ext cx="1242536" cy="367506"/>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solidFill>
                <a:schemeClr val="bg1">
                  <a:lumMod val="95000"/>
                </a:schemeClr>
              </a:solidFill>
            </a:rPr>
            <a:t>HR</a:t>
          </a:r>
          <a:r>
            <a:rPr lang="en-IN" sz="1100" baseline="0">
              <a:solidFill>
                <a:schemeClr val="bg1">
                  <a:lumMod val="95000"/>
                </a:schemeClr>
              </a:solidFill>
            </a:rPr>
            <a:t> Specialists</a:t>
          </a:r>
          <a:endParaRPr lang="en-IN" sz="1100">
            <a:solidFill>
              <a:schemeClr val="bg1">
                <a:lumMod val="95000"/>
              </a:schemeClr>
            </a:solidFill>
          </a:endParaRPr>
        </a:p>
        <a:p>
          <a:pPr algn="l"/>
          <a:endParaRPr lang="en-IN" sz="1100">
            <a:solidFill>
              <a:schemeClr val="bg1">
                <a:lumMod val="95000"/>
              </a:schemeClr>
            </a:solidFill>
          </a:endParaRPr>
        </a:p>
      </xdr:txBody>
    </xdr:sp>
    <xdr:clientData/>
  </xdr:twoCellAnchor>
  <xdr:twoCellAnchor>
    <xdr:from>
      <xdr:col>9</xdr:col>
      <xdr:colOff>555623</xdr:colOff>
      <xdr:row>29</xdr:row>
      <xdr:rowOff>115652</xdr:rowOff>
    </xdr:from>
    <xdr:to>
      <xdr:col>11</xdr:col>
      <xdr:colOff>589595</xdr:colOff>
      <xdr:row>31</xdr:row>
      <xdr:rowOff>141211</xdr:rowOff>
    </xdr:to>
    <xdr:sp macro="" textlink="">
      <xdr:nvSpPr>
        <xdr:cNvPr id="38" name="TextBox 37">
          <a:extLst>
            <a:ext uri="{FF2B5EF4-FFF2-40B4-BE49-F238E27FC236}">
              <a16:creationId xmlns:a16="http://schemas.microsoft.com/office/drawing/2014/main" id="{1B89B66C-482B-D1EC-5C75-C89720756E47}"/>
            </a:ext>
          </a:extLst>
        </xdr:cNvPr>
        <xdr:cNvSpPr txBox="1"/>
      </xdr:nvSpPr>
      <xdr:spPr>
        <a:xfrm>
          <a:off x="6002732" y="5294871"/>
          <a:ext cx="1244441" cy="382746"/>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solidFill>
                <a:schemeClr val="bg1">
                  <a:lumMod val="95000"/>
                </a:schemeClr>
              </a:solidFill>
            </a:rPr>
            <a:t>Developers</a:t>
          </a:r>
        </a:p>
      </xdr:txBody>
    </xdr:sp>
    <xdr:clientData/>
  </xdr:twoCellAnchor>
  <xdr:twoCellAnchor>
    <xdr:from>
      <xdr:col>9</xdr:col>
      <xdr:colOff>555623</xdr:colOff>
      <xdr:row>31</xdr:row>
      <xdr:rowOff>113350</xdr:rowOff>
    </xdr:from>
    <xdr:to>
      <xdr:col>11</xdr:col>
      <xdr:colOff>587690</xdr:colOff>
      <xdr:row>33</xdr:row>
      <xdr:rowOff>125573</xdr:rowOff>
    </xdr:to>
    <xdr:sp macro="" textlink="">
      <xdr:nvSpPr>
        <xdr:cNvPr id="39" name="TextBox 38">
          <a:extLst>
            <a:ext uri="{FF2B5EF4-FFF2-40B4-BE49-F238E27FC236}">
              <a16:creationId xmlns:a16="http://schemas.microsoft.com/office/drawing/2014/main" id="{DDC0D5BF-C573-4274-1849-08E5115ED417}"/>
            </a:ext>
          </a:extLst>
        </xdr:cNvPr>
        <xdr:cNvSpPr txBox="1"/>
      </xdr:nvSpPr>
      <xdr:spPr>
        <a:xfrm>
          <a:off x="6002732" y="5649756"/>
          <a:ext cx="1242536" cy="369411"/>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solidFill>
                <a:schemeClr val="bg1">
                  <a:lumMod val="95000"/>
                </a:schemeClr>
              </a:solidFill>
            </a:rPr>
            <a:t>Designers</a:t>
          </a:r>
        </a:p>
      </xdr:txBody>
    </xdr:sp>
    <xdr:clientData/>
  </xdr:twoCellAnchor>
  <xdr:twoCellAnchor>
    <xdr:from>
      <xdr:col>9</xdr:col>
      <xdr:colOff>553322</xdr:colOff>
      <xdr:row>33</xdr:row>
      <xdr:rowOff>126288</xdr:rowOff>
    </xdr:from>
    <xdr:to>
      <xdr:col>12</xdr:col>
      <xdr:colOff>3014</xdr:colOff>
      <xdr:row>35</xdr:row>
      <xdr:rowOff>123272</xdr:rowOff>
    </xdr:to>
    <xdr:sp macro="" textlink="">
      <xdr:nvSpPr>
        <xdr:cNvPr id="42" name="TextBox 41">
          <a:extLst>
            <a:ext uri="{FF2B5EF4-FFF2-40B4-BE49-F238E27FC236}">
              <a16:creationId xmlns:a16="http://schemas.microsoft.com/office/drawing/2014/main" id="{2EC09458-716A-57AD-7116-1EF3BCE9318C}"/>
            </a:ext>
          </a:extLst>
        </xdr:cNvPr>
        <xdr:cNvSpPr txBox="1"/>
      </xdr:nvSpPr>
      <xdr:spPr>
        <a:xfrm>
          <a:off x="6000431" y="6019882"/>
          <a:ext cx="1265396" cy="354171"/>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solidFill>
                <a:schemeClr val="bg1">
                  <a:lumMod val="95000"/>
                </a:schemeClr>
              </a:solidFill>
            </a:rPr>
            <a:t>Analysts</a:t>
          </a:r>
        </a:p>
      </xdr:txBody>
    </xdr:sp>
    <xdr:clientData/>
  </xdr:twoCellAnchor>
  <xdr:twoCellAnchor>
    <xdr:from>
      <xdr:col>12</xdr:col>
      <xdr:colOff>22145</xdr:colOff>
      <xdr:row>24</xdr:row>
      <xdr:rowOff>57627</xdr:rowOff>
    </xdr:from>
    <xdr:to>
      <xdr:col>14</xdr:col>
      <xdr:colOff>21746</xdr:colOff>
      <xdr:row>26</xdr:row>
      <xdr:rowOff>59134</xdr:rowOff>
    </xdr:to>
    <xdr:sp macro="" textlink="'Pivot tables'!F18">
      <xdr:nvSpPr>
        <xdr:cNvPr id="94" name="TextBox 93">
          <a:extLst>
            <a:ext uri="{FF2B5EF4-FFF2-40B4-BE49-F238E27FC236}">
              <a16:creationId xmlns:a16="http://schemas.microsoft.com/office/drawing/2014/main" id="{6A77E224-F4B3-70B4-5787-1EA4E8E8E125}"/>
            </a:ext>
          </a:extLst>
        </xdr:cNvPr>
        <xdr:cNvSpPr txBox="1"/>
      </xdr:nvSpPr>
      <xdr:spPr>
        <a:xfrm>
          <a:off x="7284958" y="4343877"/>
          <a:ext cx="1210069" cy="35869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227F481E-2DF4-49EF-B52D-9A0B80E108F8}" type="TxLink">
            <a:rPr lang="en-US" sz="1400" b="1">
              <a:ln>
                <a:noFill/>
              </a:ln>
              <a:solidFill>
                <a:schemeClr val="tx1"/>
              </a:solidFill>
              <a:latin typeface="Arial" panose="020B0604020202020204" pitchFamily="34" charset="0"/>
              <a:ea typeface="+mn-ea"/>
              <a:cs typeface="Arial" panose="020B0604020202020204" pitchFamily="34" charset="0"/>
            </a:rPr>
            <a:pPr marL="0" indent="0" algn="r"/>
            <a:t> 285,725 </a:t>
          </a:fld>
          <a:endParaRPr lang="en-IN" sz="1400" b="1">
            <a:ln>
              <a:noFill/>
            </a:ln>
            <a:solidFill>
              <a:schemeClr val="tx1"/>
            </a:solidFill>
            <a:latin typeface="Arial" panose="020B0604020202020204" pitchFamily="34" charset="0"/>
            <a:ea typeface="+mn-ea"/>
            <a:cs typeface="Arial" panose="020B0604020202020204" pitchFamily="34" charset="0"/>
          </a:endParaRPr>
        </a:p>
      </xdr:txBody>
    </xdr:sp>
    <xdr:clientData/>
  </xdr:twoCellAnchor>
  <xdr:twoCellAnchor>
    <xdr:from>
      <xdr:col>11</xdr:col>
      <xdr:colOff>593008</xdr:colOff>
      <xdr:row>25</xdr:row>
      <xdr:rowOff>164070</xdr:rowOff>
    </xdr:from>
    <xdr:to>
      <xdr:col>14</xdr:col>
      <xdr:colOff>21746</xdr:colOff>
      <xdr:row>27</xdr:row>
      <xdr:rowOff>159149</xdr:rowOff>
    </xdr:to>
    <xdr:sp macro="" textlink="'Pivot tables'!F17">
      <xdr:nvSpPr>
        <xdr:cNvPr id="95" name="TextBox 94">
          <a:extLst>
            <a:ext uri="{FF2B5EF4-FFF2-40B4-BE49-F238E27FC236}">
              <a16:creationId xmlns:a16="http://schemas.microsoft.com/office/drawing/2014/main" id="{121599AB-B06E-B7B8-D968-2FBD6DD6B3B8}"/>
            </a:ext>
          </a:extLst>
        </xdr:cNvPr>
        <xdr:cNvSpPr txBox="1"/>
      </xdr:nvSpPr>
      <xdr:spPr>
        <a:xfrm>
          <a:off x="7250586" y="4628914"/>
          <a:ext cx="1244441" cy="352266"/>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8E92EA98-C589-445B-B843-CC79EB0F51E8}" type="TxLink">
            <a:rPr lang="en-US" sz="1400">
              <a:solidFill>
                <a:schemeClr val="bg1">
                  <a:lumMod val="95000"/>
                </a:schemeClr>
              </a:solidFill>
              <a:latin typeface="Arial" panose="020B0604020202020204" pitchFamily="34" charset="0"/>
              <a:ea typeface="+mn-ea"/>
              <a:cs typeface="Arial" panose="020B0604020202020204" pitchFamily="34" charset="0"/>
            </a:rPr>
            <a:pPr marL="0" indent="0" algn="r"/>
            <a:t> 122,472 </a:t>
          </a:fld>
          <a:endParaRPr lang="en-IN" sz="1400">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xdr:from>
      <xdr:col>11</xdr:col>
      <xdr:colOff>568243</xdr:colOff>
      <xdr:row>27</xdr:row>
      <xdr:rowOff>126288</xdr:rowOff>
    </xdr:from>
    <xdr:to>
      <xdr:col>14</xdr:col>
      <xdr:colOff>17936</xdr:colOff>
      <xdr:row>29</xdr:row>
      <xdr:rowOff>115651</xdr:rowOff>
    </xdr:to>
    <xdr:sp macro="" textlink="'Pivot tables'!F16">
      <xdr:nvSpPr>
        <xdr:cNvPr id="96" name="TextBox 95">
          <a:extLst>
            <a:ext uri="{FF2B5EF4-FFF2-40B4-BE49-F238E27FC236}">
              <a16:creationId xmlns:a16="http://schemas.microsoft.com/office/drawing/2014/main" id="{DEA803C8-E7F4-41A1-3484-FE644EBF6362}"/>
            </a:ext>
          </a:extLst>
        </xdr:cNvPr>
        <xdr:cNvSpPr txBox="1"/>
      </xdr:nvSpPr>
      <xdr:spPr>
        <a:xfrm>
          <a:off x="7225821" y="4948319"/>
          <a:ext cx="1265396" cy="346551"/>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2E79A30-1386-464F-9DCA-E9B8D1DE3528}" type="TxLink">
            <a:rPr lang="en-US" sz="1400">
              <a:solidFill>
                <a:schemeClr val="bg1">
                  <a:lumMod val="95000"/>
                </a:schemeClr>
              </a:solidFill>
              <a:latin typeface="Arial" panose="020B0604020202020204" pitchFamily="34" charset="0"/>
              <a:ea typeface="+mn-ea"/>
              <a:cs typeface="Arial" panose="020B0604020202020204" pitchFamily="34" charset="0"/>
            </a:rPr>
            <a:pPr marL="0" indent="0" algn="r"/>
            <a:t>0</a:t>
          </a:fld>
          <a:endParaRPr lang="en-IN" sz="1400">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xdr:from>
      <xdr:col>11</xdr:col>
      <xdr:colOff>568243</xdr:colOff>
      <xdr:row>29</xdr:row>
      <xdr:rowOff>115652</xdr:rowOff>
    </xdr:from>
    <xdr:to>
      <xdr:col>14</xdr:col>
      <xdr:colOff>17936</xdr:colOff>
      <xdr:row>31</xdr:row>
      <xdr:rowOff>164071</xdr:rowOff>
    </xdr:to>
    <xdr:sp macro="" textlink="'Pivot tables'!F15">
      <xdr:nvSpPr>
        <xdr:cNvPr id="97" name="TextBox 96">
          <a:extLst>
            <a:ext uri="{FF2B5EF4-FFF2-40B4-BE49-F238E27FC236}">
              <a16:creationId xmlns:a16="http://schemas.microsoft.com/office/drawing/2014/main" id="{8CF48E79-DF7E-DED4-F9A0-1D2DF18D772F}"/>
            </a:ext>
          </a:extLst>
        </xdr:cNvPr>
        <xdr:cNvSpPr txBox="1"/>
      </xdr:nvSpPr>
      <xdr:spPr>
        <a:xfrm>
          <a:off x="7225821" y="5294871"/>
          <a:ext cx="1265396" cy="405606"/>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501AB262-34EC-471E-AE1C-86C843D14A9A}" type="TxLink">
            <a:rPr lang="en-US" sz="1400">
              <a:solidFill>
                <a:schemeClr val="bg1">
                  <a:lumMod val="95000"/>
                </a:schemeClr>
              </a:solidFill>
              <a:latin typeface="Arial" panose="020B0604020202020204" pitchFamily="34" charset="0"/>
              <a:ea typeface="+mn-ea"/>
              <a:cs typeface="Arial" panose="020B0604020202020204" pitchFamily="34" charset="0"/>
            </a:rPr>
            <a:pPr marL="0" indent="0" algn="r"/>
            <a:t>0</a:t>
          </a:fld>
          <a:endParaRPr lang="en-IN" sz="1400">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xdr:from>
      <xdr:col>11</xdr:col>
      <xdr:colOff>589198</xdr:colOff>
      <xdr:row>31</xdr:row>
      <xdr:rowOff>113350</xdr:rowOff>
    </xdr:from>
    <xdr:to>
      <xdr:col>14</xdr:col>
      <xdr:colOff>17936</xdr:colOff>
      <xdr:row>33</xdr:row>
      <xdr:rowOff>116048</xdr:rowOff>
    </xdr:to>
    <xdr:sp macro="" textlink="'Pivot tables'!F14">
      <xdr:nvSpPr>
        <xdr:cNvPr id="98" name="TextBox 97">
          <a:extLst>
            <a:ext uri="{FF2B5EF4-FFF2-40B4-BE49-F238E27FC236}">
              <a16:creationId xmlns:a16="http://schemas.microsoft.com/office/drawing/2014/main" id="{A12E8F84-E4AD-1A81-7336-0B33DB037E9F}"/>
            </a:ext>
          </a:extLst>
        </xdr:cNvPr>
        <xdr:cNvSpPr txBox="1"/>
      </xdr:nvSpPr>
      <xdr:spPr>
        <a:xfrm>
          <a:off x="7246776" y="5649756"/>
          <a:ext cx="1244441" cy="359886"/>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235398AF-33A3-4142-BBC4-E33E337C7EB5}" type="TxLink">
            <a:rPr lang="en-US" sz="1400">
              <a:solidFill>
                <a:schemeClr val="bg1">
                  <a:lumMod val="95000"/>
                </a:schemeClr>
              </a:solidFill>
              <a:latin typeface="Arial" panose="020B0604020202020204" pitchFamily="34" charset="0"/>
              <a:ea typeface="+mn-ea"/>
              <a:cs typeface="Arial" panose="020B0604020202020204" pitchFamily="34" charset="0"/>
            </a:rPr>
            <a:pPr marL="0" indent="0" algn="r"/>
            <a:t> 116,442 </a:t>
          </a:fld>
          <a:endParaRPr lang="en-IN" sz="1400">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xdr:from>
      <xdr:col>11</xdr:col>
      <xdr:colOff>568243</xdr:colOff>
      <xdr:row>33</xdr:row>
      <xdr:rowOff>116763</xdr:rowOff>
    </xdr:from>
    <xdr:to>
      <xdr:col>14</xdr:col>
      <xdr:colOff>17936</xdr:colOff>
      <xdr:row>35</xdr:row>
      <xdr:rowOff>123272</xdr:rowOff>
    </xdr:to>
    <xdr:sp macro="" textlink="'Pivot tables'!F13">
      <xdr:nvSpPr>
        <xdr:cNvPr id="99" name="TextBox 98">
          <a:extLst>
            <a:ext uri="{FF2B5EF4-FFF2-40B4-BE49-F238E27FC236}">
              <a16:creationId xmlns:a16="http://schemas.microsoft.com/office/drawing/2014/main" id="{2A219A58-9D27-7D85-C70A-2AB905D58B90}"/>
            </a:ext>
          </a:extLst>
        </xdr:cNvPr>
        <xdr:cNvSpPr txBox="1"/>
      </xdr:nvSpPr>
      <xdr:spPr>
        <a:xfrm>
          <a:off x="7225821" y="6010357"/>
          <a:ext cx="1265396" cy="363696"/>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8932702-9D2C-43CF-9240-C26C654F20EA}" type="TxLink">
            <a:rPr lang="en-US" sz="1400">
              <a:solidFill>
                <a:schemeClr val="bg1">
                  <a:lumMod val="95000"/>
                </a:schemeClr>
              </a:solidFill>
              <a:latin typeface="Arial" panose="020B0604020202020204" pitchFamily="34" charset="0"/>
              <a:ea typeface="+mn-ea"/>
              <a:cs typeface="Arial" panose="020B0604020202020204" pitchFamily="34" charset="0"/>
            </a:rPr>
            <a:pPr marL="0" indent="0" algn="r"/>
            <a:t> 46,811 </a:t>
          </a:fld>
          <a:endParaRPr lang="en-IN" sz="1400">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oneCellAnchor>
    <xdr:from>
      <xdr:col>21</xdr:col>
      <xdr:colOff>444579</xdr:colOff>
      <xdr:row>21</xdr:row>
      <xdr:rowOff>11827</xdr:rowOff>
    </xdr:from>
    <xdr:ext cx="184731" cy="264560"/>
    <xdr:sp macro="" textlink="">
      <xdr:nvSpPr>
        <xdr:cNvPr id="155" name="TextBox 154">
          <a:extLst>
            <a:ext uri="{FF2B5EF4-FFF2-40B4-BE49-F238E27FC236}">
              <a16:creationId xmlns:a16="http://schemas.microsoft.com/office/drawing/2014/main" id="{81A9872D-9187-C834-3175-68677C17AEB3}"/>
            </a:ext>
          </a:extLst>
        </xdr:cNvPr>
        <xdr:cNvSpPr txBox="1"/>
      </xdr:nvSpPr>
      <xdr:spPr>
        <a:xfrm>
          <a:off x="13154501" y="376229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9</xdr:col>
      <xdr:colOff>593802</xdr:colOff>
      <xdr:row>20</xdr:row>
      <xdr:rowOff>153035</xdr:rowOff>
    </xdr:from>
    <xdr:to>
      <xdr:col>12</xdr:col>
      <xdr:colOff>35874</xdr:colOff>
      <xdr:row>23</xdr:row>
      <xdr:rowOff>15240</xdr:rowOff>
    </xdr:to>
    <xdr:sp macro="" textlink="">
      <xdr:nvSpPr>
        <xdr:cNvPr id="156" name="TextBox 155">
          <a:extLst>
            <a:ext uri="{FF2B5EF4-FFF2-40B4-BE49-F238E27FC236}">
              <a16:creationId xmlns:a16="http://schemas.microsoft.com/office/drawing/2014/main" id="{58BB8D70-590A-581D-D425-6E6AB950615C}"/>
            </a:ext>
          </a:extLst>
        </xdr:cNvPr>
        <xdr:cNvSpPr txBox="1"/>
      </xdr:nvSpPr>
      <xdr:spPr>
        <a:xfrm>
          <a:off x="6040911" y="3724910"/>
          <a:ext cx="1257776" cy="397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50" b="1">
              <a:solidFill>
                <a:srgbClr val="E5B244"/>
              </a:solidFill>
            </a:rPr>
            <a:t>Salaries</a:t>
          </a:r>
        </a:p>
      </xdr:txBody>
    </xdr:sp>
    <xdr:clientData/>
  </xdr:twoCellAnchor>
  <xdr:twoCellAnchor>
    <xdr:from>
      <xdr:col>14</xdr:col>
      <xdr:colOff>324007</xdr:colOff>
      <xdr:row>18</xdr:row>
      <xdr:rowOff>75564</xdr:rowOff>
    </xdr:from>
    <xdr:to>
      <xdr:col>19</xdr:col>
      <xdr:colOff>404892</xdr:colOff>
      <xdr:row>20</xdr:row>
      <xdr:rowOff>112553</xdr:rowOff>
    </xdr:to>
    <xdr:sp macro="" textlink="">
      <xdr:nvSpPr>
        <xdr:cNvPr id="157" name="TextBox 156">
          <a:extLst>
            <a:ext uri="{FF2B5EF4-FFF2-40B4-BE49-F238E27FC236}">
              <a16:creationId xmlns:a16="http://schemas.microsoft.com/office/drawing/2014/main" id="{9598BF08-C5B1-D49B-3EFD-0183B1907ABF}"/>
            </a:ext>
          </a:extLst>
        </xdr:cNvPr>
        <xdr:cNvSpPr txBox="1"/>
      </xdr:nvSpPr>
      <xdr:spPr>
        <a:xfrm>
          <a:off x="8797288" y="3290252"/>
          <a:ext cx="3107057" cy="394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50" b="1">
              <a:solidFill>
                <a:srgbClr val="E5B244"/>
              </a:solidFill>
            </a:rPr>
            <a:t>Employment</a:t>
          </a:r>
          <a:r>
            <a:rPr lang="en-IN" sz="1650" b="1" baseline="0">
              <a:solidFill>
                <a:srgbClr val="E5B244"/>
              </a:solidFill>
            </a:rPr>
            <a:t> status breakdown</a:t>
          </a:r>
          <a:endParaRPr lang="en-IN" sz="1650" b="1">
            <a:solidFill>
              <a:srgbClr val="E5B244"/>
            </a:solidFill>
          </a:endParaRPr>
        </a:p>
      </xdr:txBody>
    </xdr:sp>
    <xdr:clientData/>
  </xdr:twoCellAnchor>
  <xdr:twoCellAnchor>
    <xdr:from>
      <xdr:col>14</xdr:col>
      <xdr:colOff>486172</xdr:colOff>
      <xdr:row>20</xdr:row>
      <xdr:rowOff>53420</xdr:rowOff>
    </xdr:from>
    <xdr:to>
      <xdr:col>16</xdr:col>
      <xdr:colOff>444580</xdr:colOff>
      <xdr:row>29</xdr:row>
      <xdr:rowOff>101124</xdr:rowOff>
    </xdr:to>
    <xdr:graphicFrame macro="">
      <xdr:nvGraphicFramePr>
        <xdr:cNvPr id="158" name="Chart 157">
          <a:extLst>
            <a:ext uri="{FF2B5EF4-FFF2-40B4-BE49-F238E27FC236}">
              <a16:creationId xmlns:a16="http://schemas.microsoft.com/office/drawing/2014/main" id="{09FB9D1C-D9A1-46D5-BCEE-B8A2F0115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456405</xdr:colOff>
      <xdr:row>20</xdr:row>
      <xdr:rowOff>162957</xdr:rowOff>
    </xdr:from>
    <xdr:to>
      <xdr:col>19</xdr:col>
      <xdr:colOff>89296</xdr:colOff>
      <xdr:row>22</xdr:row>
      <xdr:rowOff>47704</xdr:rowOff>
    </xdr:to>
    <xdr:sp macro="" textlink="">
      <xdr:nvSpPr>
        <xdr:cNvPr id="159" name="Oval 158">
          <a:extLst>
            <a:ext uri="{FF2B5EF4-FFF2-40B4-BE49-F238E27FC236}">
              <a16:creationId xmlns:a16="http://schemas.microsoft.com/office/drawing/2014/main" id="{00FF042E-BE5C-FAD1-2D53-B4D35A9ABB96}"/>
            </a:ext>
          </a:extLst>
        </xdr:cNvPr>
        <xdr:cNvSpPr/>
      </xdr:nvSpPr>
      <xdr:spPr>
        <a:xfrm>
          <a:off x="11350624" y="3734832"/>
          <a:ext cx="238125" cy="241935"/>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480059</xdr:colOff>
      <xdr:row>28</xdr:row>
      <xdr:rowOff>145018</xdr:rowOff>
    </xdr:from>
    <xdr:to>
      <xdr:col>19</xdr:col>
      <xdr:colOff>112950</xdr:colOff>
      <xdr:row>30</xdr:row>
      <xdr:rowOff>25955</xdr:rowOff>
    </xdr:to>
    <xdr:sp macro="" textlink="">
      <xdr:nvSpPr>
        <xdr:cNvPr id="160" name="Oval 159">
          <a:extLst>
            <a:ext uri="{FF2B5EF4-FFF2-40B4-BE49-F238E27FC236}">
              <a16:creationId xmlns:a16="http://schemas.microsoft.com/office/drawing/2014/main" id="{D15F9176-A6FC-7C95-AB89-DC17C0BEE7D4}"/>
            </a:ext>
          </a:extLst>
        </xdr:cNvPr>
        <xdr:cNvSpPr/>
      </xdr:nvSpPr>
      <xdr:spPr>
        <a:xfrm>
          <a:off x="11374278" y="5145643"/>
          <a:ext cx="238125" cy="238125"/>
        </a:xfrm>
        <a:prstGeom prst="ellipse">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182403</xdr:colOff>
      <xdr:row>28</xdr:row>
      <xdr:rowOff>174783</xdr:rowOff>
    </xdr:from>
    <xdr:to>
      <xdr:col>16</xdr:col>
      <xdr:colOff>420528</xdr:colOff>
      <xdr:row>30</xdr:row>
      <xdr:rowOff>55720</xdr:rowOff>
    </xdr:to>
    <xdr:sp macro="" textlink="">
      <xdr:nvSpPr>
        <xdr:cNvPr id="161" name="Oval 160">
          <a:extLst>
            <a:ext uri="{FF2B5EF4-FFF2-40B4-BE49-F238E27FC236}">
              <a16:creationId xmlns:a16="http://schemas.microsoft.com/office/drawing/2014/main" id="{2090BA5F-CBB4-EC84-88C8-748D88D694C1}"/>
            </a:ext>
          </a:extLst>
        </xdr:cNvPr>
        <xdr:cNvSpPr/>
      </xdr:nvSpPr>
      <xdr:spPr>
        <a:xfrm>
          <a:off x="9866153" y="5175408"/>
          <a:ext cx="238125" cy="238125"/>
        </a:xfrm>
        <a:prstGeom prst="ellipse">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553125</xdr:colOff>
      <xdr:row>24</xdr:row>
      <xdr:rowOff>35879</xdr:rowOff>
    </xdr:from>
    <xdr:to>
      <xdr:col>9</xdr:col>
      <xdr:colOff>96917</xdr:colOff>
      <xdr:row>35</xdr:row>
      <xdr:rowOff>93902</xdr:rowOff>
    </xdr:to>
    <xdr:graphicFrame macro="">
      <xdr:nvGraphicFramePr>
        <xdr:cNvPr id="162" name="Chart 161">
          <a:extLst>
            <a:ext uri="{FF2B5EF4-FFF2-40B4-BE49-F238E27FC236}">
              <a16:creationId xmlns:a16="http://schemas.microsoft.com/office/drawing/2014/main" id="{7D4D35CD-2CF0-45A2-93A9-4CB4094CC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4204</xdr:colOff>
      <xdr:row>22</xdr:row>
      <xdr:rowOff>79771</xdr:rowOff>
    </xdr:from>
    <xdr:to>
      <xdr:col>14</xdr:col>
      <xdr:colOff>71359</xdr:colOff>
      <xdr:row>23</xdr:row>
      <xdr:rowOff>137001</xdr:rowOff>
    </xdr:to>
    <xdr:sp macro="" textlink="">
      <xdr:nvSpPr>
        <xdr:cNvPr id="163" name="TextBox 162">
          <a:extLst>
            <a:ext uri="{FF2B5EF4-FFF2-40B4-BE49-F238E27FC236}">
              <a16:creationId xmlns:a16="http://schemas.microsoft.com/office/drawing/2014/main" id="{2F9AE093-EFF1-4349-A8D3-4E32012C91BB}"/>
            </a:ext>
          </a:extLst>
        </xdr:cNvPr>
        <xdr:cNvSpPr txBox="1"/>
      </xdr:nvSpPr>
      <xdr:spPr>
        <a:xfrm>
          <a:off x="6056548" y="4008834"/>
          <a:ext cx="2488092" cy="235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1">
              <a:solidFill>
                <a:schemeClr val="tx1">
                  <a:lumMod val="50000"/>
                  <a:lumOff val="50000"/>
                </a:schemeClr>
              </a:solidFill>
            </a:rPr>
            <a:t>Salary amount by job titles</a:t>
          </a:r>
        </a:p>
      </xdr:txBody>
    </xdr:sp>
    <xdr:clientData/>
  </xdr:twoCellAnchor>
  <xdr:twoCellAnchor>
    <xdr:from>
      <xdr:col>5</xdr:col>
      <xdr:colOff>16946</xdr:colOff>
      <xdr:row>22</xdr:row>
      <xdr:rowOff>91201</xdr:rowOff>
    </xdr:from>
    <xdr:to>
      <xdr:col>9</xdr:col>
      <xdr:colOff>84101</xdr:colOff>
      <xdr:row>23</xdr:row>
      <xdr:rowOff>150336</xdr:rowOff>
    </xdr:to>
    <xdr:sp macro="" textlink="">
      <xdr:nvSpPr>
        <xdr:cNvPr id="164" name="TextBox 163">
          <a:extLst>
            <a:ext uri="{FF2B5EF4-FFF2-40B4-BE49-F238E27FC236}">
              <a16:creationId xmlns:a16="http://schemas.microsoft.com/office/drawing/2014/main" id="{94872D36-46D0-4FF3-AF7C-F10A007FA228}"/>
            </a:ext>
          </a:extLst>
        </xdr:cNvPr>
        <xdr:cNvSpPr txBox="1"/>
      </xdr:nvSpPr>
      <xdr:spPr>
        <a:xfrm>
          <a:off x="3043118" y="4020264"/>
          <a:ext cx="2488092" cy="237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1">
              <a:solidFill>
                <a:schemeClr val="tx1">
                  <a:lumMod val="50000"/>
                  <a:lumOff val="50000"/>
                </a:schemeClr>
              </a:solidFill>
            </a:rPr>
            <a:t>No</a:t>
          </a:r>
          <a:r>
            <a:rPr lang="en-IN" sz="1000" b="1" baseline="0">
              <a:solidFill>
                <a:schemeClr val="tx1">
                  <a:lumMod val="50000"/>
                  <a:lumOff val="50000"/>
                </a:schemeClr>
              </a:solidFill>
            </a:rPr>
            <a:t> of Emps. according  to Age and genders</a:t>
          </a:r>
          <a:endParaRPr lang="en-IN" sz="1000" b="1">
            <a:solidFill>
              <a:schemeClr val="tx1">
                <a:lumMod val="50000"/>
                <a:lumOff val="50000"/>
              </a:schemeClr>
            </a:solidFill>
          </a:endParaRPr>
        </a:p>
      </xdr:txBody>
    </xdr:sp>
    <xdr:clientData/>
  </xdr:twoCellAnchor>
  <xdr:twoCellAnchor>
    <xdr:from>
      <xdr:col>5</xdr:col>
      <xdr:colOff>7817</xdr:colOff>
      <xdr:row>20</xdr:row>
      <xdr:rowOff>172481</xdr:rowOff>
    </xdr:from>
    <xdr:to>
      <xdr:col>7</xdr:col>
      <xdr:colOff>58934</xdr:colOff>
      <xdr:row>22</xdr:row>
      <xdr:rowOff>142715</xdr:rowOff>
    </xdr:to>
    <xdr:sp macro="" textlink="">
      <xdr:nvSpPr>
        <xdr:cNvPr id="165" name="TextBox 164">
          <a:extLst>
            <a:ext uri="{FF2B5EF4-FFF2-40B4-BE49-F238E27FC236}">
              <a16:creationId xmlns:a16="http://schemas.microsoft.com/office/drawing/2014/main" id="{AF0F935D-1F7C-4272-9EC4-7D6879B7109C}"/>
            </a:ext>
          </a:extLst>
        </xdr:cNvPr>
        <xdr:cNvSpPr txBox="1"/>
      </xdr:nvSpPr>
      <xdr:spPr>
        <a:xfrm>
          <a:off x="3033989" y="3744356"/>
          <a:ext cx="1261586" cy="327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50" b="1">
              <a:solidFill>
                <a:srgbClr val="E5B244"/>
              </a:solidFill>
            </a:rPr>
            <a:t>Age</a:t>
          </a:r>
          <a:r>
            <a:rPr lang="en-IN" sz="1650" b="1" baseline="0">
              <a:solidFill>
                <a:srgbClr val="E5B244"/>
              </a:solidFill>
            </a:rPr>
            <a:t> Range</a:t>
          </a:r>
          <a:endParaRPr lang="en-IN" sz="1650" b="1">
            <a:solidFill>
              <a:srgbClr val="E5B244"/>
            </a:solidFill>
          </a:endParaRPr>
        </a:p>
      </xdr:txBody>
    </xdr:sp>
    <xdr:clientData/>
  </xdr:twoCellAnchor>
  <xdr:twoCellAnchor>
    <xdr:from>
      <xdr:col>8</xdr:col>
      <xdr:colOff>208360</xdr:colOff>
      <xdr:row>23</xdr:row>
      <xdr:rowOff>93108</xdr:rowOff>
    </xdr:from>
    <xdr:to>
      <xdr:col>9</xdr:col>
      <xdr:colOff>373222</xdr:colOff>
      <xdr:row>25</xdr:row>
      <xdr:rowOff>53419</xdr:rowOff>
    </xdr:to>
    <xdr:sp macro="" textlink="">
      <xdr:nvSpPr>
        <xdr:cNvPr id="166" name="TextBox 165">
          <a:extLst>
            <a:ext uri="{FF2B5EF4-FFF2-40B4-BE49-F238E27FC236}">
              <a16:creationId xmlns:a16="http://schemas.microsoft.com/office/drawing/2014/main" id="{BEA25B6F-4739-45AE-B630-BA4F82BE46F3}"/>
            </a:ext>
          </a:extLst>
        </xdr:cNvPr>
        <xdr:cNvSpPr txBox="1"/>
      </xdr:nvSpPr>
      <xdr:spPr>
        <a:xfrm>
          <a:off x="5050235" y="4200764"/>
          <a:ext cx="770096" cy="317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a:solidFill>
                <a:schemeClr val="bg1">
                  <a:lumMod val="95000"/>
                </a:schemeClr>
              </a:solidFill>
            </a:rPr>
            <a:t>Males</a:t>
          </a:r>
        </a:p>
      </xdr:txBody>
    </xdr:sp>
    <xdr:clientData/>
  </xdr:twoCellAnchor>
  <xdr:twoCellAnchor>
    <xdr:from>
      <xdr:col>8</xdr:col>
      <xdr:colOff>184309</xdr:colOff>
      <xdr:row>23</xdr:row>
      <xdr:rowOff>164863</xdr:rowOff>
    </xdr:from>
    <xdr:to>
      <xdr:col>8</xdr:col>
      <xdr:colOff>275113</xdr:colOff>
      <xdr:row>24</xdr:row>
      <xdr:rowOff>85090</xdr:rowOff>
    </xdr:to>
    <xdr:sp macro="" textlink="">
      <xdr:nvSpPr>
        <xdr:cNvPr id="167" name="Oval 166">
          <a:extLst>
            <a:ext uri="{FF2B5EF4-FFF2-40B4-BE49-F238E27FC236}">
              <a16:creationId xmlns:a16="http://schemas.microsoft.com/office/drawing/2014/main" id="{38B279F0-CAE2-4E36-B008-E4F10A0BADAA}"/>
            </a:ext>
          </a:extLst>
        </xdr:cNvPr>
        <xdr:cNvSpPr/>
      </xdr:nvSpPr>
      <xdr:spPr>
        <a:xfrm>
          <a:off x="5026184" y="4272519"/>
          <a:ext cx="90804" cy="98821"/>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152637</xdr:colOff>
      <xdr:row>23</xdr:row>
      <xdr:rowOff>89297</xdr:rowOff>
    </xdr:from>
    <xdr:to>
      <xdr:col>8</xdr:col>
      <xdr:colOff>306069</xdr:colOff>
      <xdr:row>25</xdr:row>
      <xdr:rowOff>45798</xdr:rowOff>
    </xdr:to>
    <xdr:sp macro="" textlink="">
      <xdr:nvSpPr>
        <xdr:cNvPr id="168" name="TextBox 167">
          <a:extLst>
            <a:ext uri="{FF2B5EF4-FFF2-40B4-BE49-F238E27FC236}">
              <a16:creationId xmlns:a16="http://schemas.microsoft.com/office/drawing/2014/main" id="{8F3C60F9-C55D-461D-9F0D-637152F1ECA9}"/>
            </a:ext>
          </a:extLst>
        </xdr:cNvPr>
        <xdr:cNvSpPr txBox="1"/>
      </xdr:nvSpPr>
      <xdr:spPr>
        <a:xfrm>
          <a:off x="4389278" y="4196953"/>
          <a:ext cx="758666" cy="313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a:solidFill>
                <a:schemeClr val="bg1">
                  <a:lumMod val="95000"/>
                </a:schemeClr>
              </a:solidFill>
            </a:rPr>
            <a:t>Females</a:t>
          </a:r>
        </a:p>
      </xdr:txBody>
    </xdr:sp>
    <xdr:clientData/>
  </xdr:twoCellAnchor>
  <xdr:twoCellAnchor>
    <xdr:from>
      <xdr:col>7</xdr:col>
      <xdr:colOff>78036</xdr:colOff>
      <xdr:row>23</xdr:row>
      <xdr:rowOff>175129</xdr:rowOff>
    </xdr:from>
    <xdr:to>
      <xdr:col>7</xdr:col>
      <xdr:colOff>190419</xdr:colOff>
      <xdr:row>24</xdr:row>
      <xdr:rowOff>95408</xdr:rowOff>
    </xdr:to>
    <xdr:sp macro="" textlink="">
      <xdr:nvSpPr>
        <xdr:cNvPr id="169" name="Oval 168">
          <a:extLst>
            <a:ext uri="{FF2B5EF4-FFF2-40B4-BE49-F238E27FC236}">
              <a16:creationId xmlns:a16="http://schemas.microsoft.com/office/drawing/2014/main" id="{E45134DC-5BA6-4F94-B85F-B338C950AD5D}"/>
            </a:ext>
          </a:extLst>
        </xdr:cNvPr>
        <xdr:cNvSpPr/>
      </xdr:nvSpPr>
      <xdr:spPr>
        <a:xfrm>
          <a:off x="4314677" y="4282785"/>
          <a:ext cx="112383" cy="98873"/>
        </a:xfrm>
        <a:prstGeom prst="ellipse">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xdr:from>
      <xdr:col>0</xdr:col>
      <xdr:colOff>515937</xdr:colOff>
      <xdr:row>26</xdr:row>
      <xdr:rowOff>130096</xdr:rowOff>
    </xdr:from>
    <xdr:to>
      <xdr:col>3</xdr:col>
      <xdr:colOff>362902</xdr:colOff>
      <xdr:row>29</xdr:row>
      <xdr:rowOff>139102</xdr:rowOff>
    </xdr:to>
    <xdr:graphicFrame macro="">
      <xdr:nvGraphicFramePr>
        <xdr:cNvPr id="171" name="Chart 170">
          <a:extLst>
            <a:ext uri="{FF2B5EF4-FFF2-40B4-BE49-F238E27FC236}">
              <a16:creationId xmlns:a16="http://schemas.microsoft.com/office/drawing/2014/main" id="{5908A701-4B5D-467E-AFC8-3FB03E4A9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516114</xdr:colOff>
      <xdr:row>29</xdr:row>
      <xdr:rowOff>116387</xdr:rowOff>
    </xdr:from>
    <xdr:to>
      <xdr:col>3</xdr:col>
      <xdr:colOff>342140</xdr:colOff>
      <xdr:row>32</xdr:row>
      <xdr:rowOff>151017</xdr:rowOff>
    </xdr:to>
    <xdr:graphicFrame macro="">
      <xdr:nvGraphicFramePr>
        <xdr:cNvPr id="172" name="Chart 171">
          <a:extLst>
            <a:ext uri="{FF2B5EF4-FFF2-40B4-BE49-F238E27FC236}">
              <a16:creationId xmlns:a16="http://schemas.microsoft.com/office/drawing/2014/main" id="{8E371D34-7305-4244-92A4-F96A7E591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506830</xdr:colOff>
      <xdr:row>32</xdr:row>
      <xdr:rowOff>135923</xdr:rowOff>
    </xdr:from>
    <xdr:to>
      <xdr:col>3</xdr:col>
      <xdr:colOff>336602</xdr:colOff>
      <xdr:row>35</xdr:row>
      <xdr:rowOff>160654</xdr:rowOff>
    </xdr:to>
    <xdr:graphicFrame macro="">
      <xdr:nvGraphicFramePr>
        <xdr:cNvPr id="173" name="Chart 172">
          <a:extLst>
            <a:ext uri="{FF2B5EF4-FFF2-40B4-BE49-F238E27FC236}">
              <a16:creationId xmlns:a16="http://schemas.microsoft.com/office/drawing/2014/main" id="{0766E688-1B65-4B7B-BFD8-30D56C8D7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549912</xdr:colOff>
      <xdr:row>26</xdr:row>
      <xdr:rowOff>99220</xdr:rowOff>
    </xdr:from>
    <xdr:to>
      <xdr:col>2</xdr:col>
      <xdr:colOff>591504</xdr:colOff>
      <xdr:row>27</xdr:row>
      <xdr:rowOff>154546</xdr:rowOff>
    </xdr:to>
    <xdr:sp macro="" textlink="">
      <xdr:nvSpPr>
        <xdr:cNvPr id="174" name="TextBox 173">
          <a:extLst>
            <a:ext uri="{FF2B5EF4-FFF2-40B4-BE49-F238E27FC236}">
              <a16:creationId xmlns:a16="http://schemas.microsoft.com/office/drawing/2014/main" id="{E9AE5E66-1516-4919-9C5E-AD1C2B481E97}"/>
            </a:ext>
          </a:extLst>
        </xdr:cNvPr>
        <xdr:cNvSpPr txBox="1"/>
      </xdr:nvSpPr>
      <xdr:spPr>
        <a:xfrm>
          <a:off x="549912" y="4742658"/>
          <a:ext cx="1252061" cy="233919"/>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100">
              <a:solidFill>
                <a:schemeClr val="bg1">
                  <a:lumMod val="95000"/>
                </a:schemeClr>
              </a:solidFill>
              <a:latin typeface="+mn-lt"/>
              <a:ea typeface="+mn-ea"/>
              <a:cs typeface="+mn-cs"/>
            </a:rPr>
            <a:t>Branch</a:t>
          </a:r>
          <a:r>
            <a:rPr lang="en-IN" sz="1100" baseline="0">
              <a:solidFill>
                <a:schemeClr val="bg1">
                  <a:lumMod val="95000"/>
                </a:schemeClr>
              </a:solidFill>
              <a:latin typeface="+mn-lt"/>
              <a:ea typeface="+mn-ea"/>
              <a:cs typeface="+mn-cs"/>
            </a:rPr>
            <a:t> Office</a:t>
          </a:r>
          <a:endParaRPr lang="en-IN" sz="1100">
            <a:solidFill>
              <a:schemeClr val="bg1">
                <a:lumMod val="95000"/>
              </a:schemeClr>
            </a:solidFill>
            <a:latin typeface="+mn-lt"/>
            <a:ea typeface="+mn-ea"/>
            <a:cs typeface="+mn-cs"/>
          </a:endParaRPr>
        </a:p>
      </xdr:txBody>
    </xdr:sp>
    <xdr:clientData/>
  </xdr:twoCellAnchor>
  <xdr:twoCellAnchor>
    <xdr:from>
      <xdr:col>0</xdr:col>
      <xdr:colOff>554515</xdr:colOff>
      <xdr:row>29</xdr:row>
      <xdr:rowOff>108032</xdr:rowOff>
    </xdr:from>
    <xdr:to>
      <xdr:col>2</xdr:col>
      <xdr:colOff>594202</xdr:colOff>
      <xdr:row>30</xdr:row>
      <xdr:rowOff>137400</xdr:rowOff>
    </xdr:to>
    <xdr:sp macro="" textlink="">
      <xdr:nvSpPr>
        <xdr:cNvPr id="175" name="TextBox 174">
          <a:extLst>
            <a:ext uri="{FF2B5EF4-FFF2-40B4-BE49-F238E27FC236}">
              <a16:creationId xmlns:a16="http://schemas.microsoft.com/office/drawing/2014/main" id="{646EC1F9-F9BE-4A55-8DE6-07282C9BF8CB}"/>
            </a:ext>
          </a:extLst>
        </xdr:cNvPr>
        <xdr:cNvSpPr txBox="1"/>
      </xdr:nvSpPr>
      <xdr:spPr>
        <a:xfrm>
          <a:off x="554515" y="5287251"/>
          <a:ext cx="1250156" cy="207962"/>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lumMod val="95000"/>
                </a:schemeClr>
              </a:solidFill>
            </a:rPr>
            <a:t>Head</a:t>
          </a:r>
          <a:r>
            <a:rPr lang="en-IN" sz="1100" baseline="0">
              <a:solidFill>
                <a:schemeClr val="bg1">
                  <a:lumMod val="95000"/>
                </a:schemeClr>
              </a:solidFill>
            </a:rPr>
            <a:t> office</a:t>
          </a:r>
          <a:endParaRPr lang="en-IN" sz="1100">
            <a:solidFill>
              <a:schemeClr val="bg1">
                <a:lumMod val="95000"/>
              </a:schemeClr>
            </a:solidFill>
          </a:endParaRPr>
        </a:p>
        <a:p>
          <a:pPr algn="l"/>
          <a:endParaRPr lang="en-IN" sz="1100">
            <a:solidFill>
              <a:schemeClr val="bg1">
                <a:lumMod val="95000"/>
              </a:schemeClr>
            </a:solidFill>
          </a:endParaRPr>
        </a:p>
      </xdr:txBody>
    </xdr:sp>
    <xdr:clientData/>
  </xdr:twoCellAnchor>
  <xdr:twoCellAnchor>
    <xdr:from>
      <xdr:col>0</xdr:col>
      <xdr:colOff>555228</xdr:colOff>
      <xdr:row>32</xdr:row>
      <xdr:rowOff>146211</xdr:rowOff>
    </xdr:from>
    <xdr:to>
      <xdr:col>2</xdr:col>
      <xdr:colOff>587295</xdr:colOff>
      <xdr:row>33</xdr:row>
      <xdr:rowOff>178199</xdr:rowOff>
    </xdr:to>
    <xdr:sp macro="" textlink="">
      <xdr:nvSpPr>
        <xdr:cNvPr id="176" name="TextBox 175">
          <a:extLst>
            <a:ext uri="{FF2B5EF4-FFF2-40B4-BE49-F238E27FC236}">
              <a16:creationId xmlns:a16="http://schemas.microsoft.com/office/drawing/2014/main" id="{A5E8096F-A97F-43CD-B11A-B3ABE7C9173D}"/>
            </a:ext>
          </a:extLst>
        </xdr:cNvPr>
        <xdr:cNvSpPr txBox="1"/>
      </xdr:nvSpPr>
      <xdr:spPr>
        <a:xfrm>
          <a:off x="555228" y="5861211"/>
          <a:ext cx="1242536" cy="210582"/>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lumMod val="95000"/>
                </a:schemeClr>
              </a:solidFill>
            </a:rPr>
            <a:t>Remote</a:t>
          </a:r>
        </a:p>
      </xdr:txBody>
    </xdr:sp>
    <xdr:clientData/>
  </xdr:twoCellAnchor>
  <xdr:twoCellAnchor>
    <xdr:from>
      <xdr:col>3</xdr:col>
      <xdr:colOff>190819</xdr:colOff>
      <xdr:row>27</xdr:row>
      <xdr:rowOff>103427</xdr:rowOff>
    </xdr:from>
    <xdr:to>
      <xdr:col>5</xdr:col>
      <xdr:colOff>234316</xdr:colOff>
      <xdr:row>28</xdr:row>
      <xdr:rowOff>172087</xdr:rowOff>
    </xdr:to>
    <xdr:sp macro="" textlink="'Pivot tables'!P12">
      <xdr:nvSpPr>
        <xdr:cNvPr id="177" name="TextBox 176">
          <a:extLst>
            <a:ext uri="{FF2B5EF4-FFF2-40B4-BE49-F238E27FC236}">
              <a16:creationId xmlns:a16="http://schemas.microsoft.com/office/drawing/2014/main" id="{D05346B9-8E41-4245-97D5-54A3D9E43A65}"/>
            </a:ext>
          </a:extLst>
        </xdr:cNvPr>
        <xdr:cNvSpPr txBox="1"/>
      </xdr:nvSpPr>
      <xdr:spPr>
        <a:xfrm>
          <a:off x="2006522" y="4925458"/>
          <a:ext cx="1253966" cy="247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415599D-353B-4C12-8A40-9B52C9403B79}" type="TxLink">
            <a:rPr lang="en-US" sz="900" b="1" i="0" u="none" strike="noStrike">
              <a:solidFill>
                <a:schemeClr val="bg1">
                  <a:lumMod val="95000"/>
                </a:schemeClr>
              </a:solidFill>
              <a:latin typeface="Arial"/>
              <a:ea typeface="+mn-ea"/>
              <a:cs typeface="Arial"/>
            </a:rPr>
            <a:pPr marL="0" indent="0" algn="l"/>
            <a:t>44%</a:t>
          </a:fld>
          <a:endParaRPr lang="en-IN" sz="900" b="1" i="0" u="none" strike="noStrike">
            <a:solidFill>
              <a:schemeClr val="bg1">
                <a:lumMod val="95000"/>
              </a:schemeClr>
            </a:solidFill>
            <a:latin typeface="Arial"/>
            <a:ea typeface="+mn-ea"/>
            <a:cs typeface="Arial"/>
          </a:endParaRPr>
        </a:p>
      </xdr:txBody>
    </xdr:sp>
    <xdr:clientData/>
  </xdr:twoCellAnchor>
  <xdr:twoCellAnchor>
    <xdr:from>
      <xdr:col>3</xdr:col>
      <xdr:colOff>191216</xdr:colOff>
      <xdr:row>30</xdr:row>
      <xdr:rowOff>142003</xdr:rowOff>
    </xdr:from>
    <xdr:to>
      <xdr:col>5</xdr:col>
      <xdr:colOff>230903</xdr:colOff>
      <xdr:row>31</xdr:row>
      <xdr:rowOff>167562</xdr:rowOff>
    </xdr:to>
    <xdr:sp macro="" textlink="'Pivot tables'!P13">
      <xdr:nvSpPr>
        <xdr:cNvPr id="178" name="TextBox 177">
          <a:extLst>
            <a:ext uri="{FF2B5EF4-FFF2-40B4-BE49-F238E27FC236}">
              <a16:creationId xmlns:a16="http://schemas.microsoft.com/office/drawing/2014/main" id="{3C3E9B07-3A4A-BF76-57E2-E5ECEF14A7CD}"/>
            </a:ext>
          </a:extLst>
        </xdr:cNvPr>
        <xdr:cNvSpPr txBox="1"/>
      </xdr:nvSpPr>
      <xdr:spPr>
        <a:xfrm>
          <a:off x="2006919" y="5499816"/>
          <a:ext cx="1250156" cy="204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587A3B-DB57-4214-95E9-DDFEADFBE6D8}" type="TxLink">
            <a:rPr lang="en-US" sz="900" b="1" i="0" u="none" strike="noStrike">
              <a:solidFill>
                <a:schemeClr val="bg1">
                  <a:lumMod val="95000"/>
                </a:schemeClr>
              </a:solidFill>
              <a:latin typeface="Arial"/>
              <a:ea typeface="+mn-ea"/>
              <a:cs typeface="Arial"/>
            </a:rPr>
            <a:pPr marL="0" indent="0" algn="l"/>
            <a:t>11%</a:t>
          </a:fld>
          <a:endParaRPr lang="en-IN" sz="900" b="1" i="0" u="none" strike="noStrike">
            <a:solidFill>
              <a:schemeClr val="bg1">
                <a:lumMod val="95000"/>
              </a:schemeClr>
            </a:solidFill>
            <a:latin typeface="Arial"/>
            <a:ea typeface="+mn-ea"/>
            <a:cs typeface="Arial"/>
          </a:endParaRPr>
        </a:p>
      </xdr:txBody>
    </xdr:sp>
    <xdr:clientData/>
  </xdr:twoCellAnchor>
  <xdr:twoCellAnchor>
    <xdr:from>
      <xdr:col>3</xdr:col>
      <xdr:colOff>184309</xdr:colOff>
      <xdr:row>33</xdr:row>
      <xdr:rowOff>150417</xdr:rowOff>
    </xdr:from>
    <xdr:to>
      <xdr:col>5</xdr:col>
      <xdr:colOff>223996</xdr:colOff>
      <xdr:row>35</xdr:row>
      <xdr:rowOff>1907</xdr:rowOff>
    </xdr:to>
    <xdr:sp macro="" textlink="'Pivot tables'!P14">
      <xdr:nvSpPr>
        <xdr:cNvPr id="179" name="TextBox 178">
          <a:extLst>
            <a:ext uri="{FF2B5EF4-FFF2-40B4-BE49-F238E27FC236}">
              <a16:creationId xmlns:a16="http://schemas.microsoft.com/office/drawing/2014/main" id="{818816B8-FA9D-EFB4-22EE-5BC3F417CFFD}"/>
            </a:ext>
          </a:extLst>
        </xdr:cNvPr>
        <xdr:cNvSpPr txBox="1"/>
      </xdr:nvSpPr>
      <xdr:spPr>
        <a:xfrm>
          <a:off x="2000012" y="6044011"/>
          <a:ext cx="1250156" cy="208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65C9051-F43E-4851-95B0-ED42B6E22E13}" type="TxLink">
            <a:rPr lang="en-US" sz="900" b="1" i="0" u="none" strike="noStrike">
              <a:solidFill>
                <a:schemeClr val="bg1">
                  <a:lumMod val="95000"/>
                </a:schemeClr>
              </a:solidFill>
              <a:latin typeface="Arial"/>
              <a:ea typeface="+mn-ea"/>
              <a:cs typeface="Arial"/>
            </a:rPr>
            <a:pPr marL="0" indent="0" algn="l"/>
            <a:t>44%</a:t>
          </a:fld>
          <a:endParaRPr lang="en-IN" sz="900" b="1" i="0" u="none" strike="noStrike">
            <a:solidFill>
              <a:schemeClr val="bg1">
                <a:lumMod val="95000"/>
              </a:schemeClr>
            </a:solidFill>
            <a:latin typeface="Arial"/>
            <a:ea typeface="+mn-ea"/>
            <a:cs typeface="Arial"/>
          </a:endParaRPr>
        </a:p>
      </xdr:txBody>
    </xdr:sp>
    <xdr:clientData/>
  </xdr:twoCellAnchor>
  <xdr:twoCellAnchor>
    <xdr:from>
      <xdr:col>0</xdr:col>
      <xdr:colOff>523955</xdr:colOff>
      <xdr:row>24</xdr:row>
      <xdr:rowOff>178593</xdr:rowOff>
    </xdr:from>
    <xdr:to>
      <xdr:col>4</xdr:col>
      <xdr:colOff>598729</xdr:colOff>
      <xdr:row>26</xdr:row>
      <xdr:rowOff>57228</xdr:rowOff>
    </xdr:to>
    <xdr:sp macro="" textlink="">
      <xdr:nvSpPr>
        <xdr:cNvPr id="180" name="TextBox 179">
          <a:extLst>
            <a:ext uri="{FF2B5EF4-FFF2-40B4-BE49-F238E27FC236}">
              <a16:creationId xmlns:a16="http://schemas.microsoft.com/office/drawing/2014/main" id="{69201FCF-7778-483E-9505-112D47002777}"/>
            </a:ext>
          </a:extLst>
        </xdr:cNvPr>
        <xdr:cNvSpPr txBox="1"/>
      </xdr:nvSpPr>
      <xdr:spPr>
        <a:xfrm>
          <a:off x="523955" y="4464843"/>
          <a:ext cx="2495712" cy="235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1">
              <a:solidFill>
                <a:schemeClr val="tx1">
                  <a:lumMod val="50000"/>
                  <a:lumOff val="50000"/>
                </a:schemeClr>
              </a:solidFill>
            </a:rPr>
            <a:t>Employees</a:t>
          </a:r>
          <a:r>
            <a:rPr lang="en-IN" sz="1000" b="1" baseline="0">
              <a:solidFill>
                <a:schemeClr val="tx1">
                  <a:lumMod val="50000"/>
                  <a:lumOff val="50000"/>
                </a:schemeClr>
              </a:solidFill>
            </a:rPr>
            <a:t> To workplace</a:t>
          </a:r>
          <a:endParaRPr lang="en-IN" sz="1000" b="1">
            <a:solidFill>
              <a:schemeClr val="tx1">
                <a:lumMod val="50000"/>
                <a:lumOff val="50000"/>
              </a:schemeClr>
            </a:solidFill>
          </a:endParaRPr>
        </a:p>
      </xdr:txBody>
    </xdr:sp>
    <xdr:clientData/>
  </xdr:twoCellAnchor>
  <xdr:twoCellAnchor>
    <xdr:from>
      <xdr:col>0</xdr:col>
      <xdr:colOff>508714</xdr:colOff>
      <xdr:row>23</xdr:row>
      <xdr:rowOff>103029</xdr:rowOff>
    </xdr:from>
    <xdr:to>
      <xdr:col>3</xdr:col>
      <xdr:colOff>367108</xdr:colOff>
      <xdr:row>25</xdr:row>
      <xdr:rowOff>69453</xdr:rowOff>
    </xdr:to>
    <xdr:sp macro="" textlink="">
      <xdr:nvSpPr>
        <xdr:cNvPr id="181" name="TextBox 180">
          <a:extLst>
            <a:ext uri="{FF2B5EF4-FFF2-40B4-BE49-F238E27FC236}">
              <a16:creationId xmlns:a16="http://schemas.microsoft.com/office/drawing/2014/main" id="{7F5B84EC-B36F-4B6C-B35D-535A94B614CA}"/>
            </a:ext>
          </a:extLst>
        </xdr:cNvPr>
        <xdr:cNvSpPr txBox="1"/>
      </xdr:nvSpPr>
      <xdr:spPr>
        <a:xfrm>
          <a:off x="508714" y="4210685"/>
          <a:ext cx="1674097" cy="323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50" b="1">
              <a:solidFill>
                <a:srgbClr val="E5B244"/>
              </a:solidFill>
            </a:rPr>
            <a:t>Work</a:t>
          </a:r>
          <a:r>
            <a:rPr lang="en-IN" sz="1650" b="1" baseline="0">
              <a:solidFill>
                <a:srgbClr val="E5B244"/>
              </a:solidFill>
            </a:rPr>
            <a:t> Location</a:t>
          </a:r>
          <a:endParaRPr lang="en-IN" sz="1650" b="1">
            <a:solidFill>
              <a:srgbClr val="E5B244"/>
            </a:solidFill>
          </a:endParaRPr>
        </a:p>
      </xdr:txBody>
    </xdr:sp>
    <xdr:clientData/>
  </xdr:twoCellAnchor>
  <xdr:twoCellAnchor>
    <xdr:from>
      <xdr:col>0</xdr:col>
      <xdr:colOff>540383</xdr:colOff>
      <xdr:row>13</xdr:row>
      <xdr:rowOff>77870</xdr:rowOff>
    </xdr:from>
    <xdr:to>
      <xdr:col>2</xdr:col>
      <xdr:colOff>578165</xdr:colOff>
      <xdr:row>15</xdr:row>
      <xdr:rowOff>91999</xdr:rowOff>
    </xdr:to>
    <xdr:sp macro="" textlink="">
      <xdr:nvSpPr>
        <xdr:cNvPr id="189" name="TextBox 188">
          <a:extLst>
            <a:ext uri="{FF2B5EF4-FFF2-40B4-BE49-F238E27FC236}">
              <a16:creationId xmlns:a16="http://schemas.microsoft.com/office/drawing/2014/main" id="{C8E177C7-DCC2-8D2C-26B4-36ABF058494B}"/>
            </a:ext>
          </a:extLst>
        </xdr:cNvPr>
        <xdr:cNvSpPr txBox="1"/>
      </xdr:nvSpPr>
      <xdr:spPr>
        <a:xfrm>
          <a:off x="540383" y="2399589"/>
          <a:ext cx="1248251" cy="371316"/>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100">
              <a:solidFill>
                <a:schemeClr val="bg1">
                  <a:lumMod val="95000"/>
                </a:schemeClr>
              </a:solidFill>
              <a:latin typeface="+mn-lt"/>
              <a:ea typeface="+mn-ea"/>
              <a:cs typeface="+mn-cs"/>
            </a:rPr>
            <a:t>Communication</a:t>
          </a:r>
        </a:p>
      </xdr:txBody>
    </xdr:sp>
    <xdr:clientData/>
  </xdr:twoCellAnchor>
  <xdr:twoCellAnchor>
    <xdr:from>
      <xdr:col>0</xdr:col>
      <xdr:colOff>540383</xdr:colOff>
      <xdr:row>15</xdr:row>
      <xdr:rowOff>40088</xdr:rowOff>
    </xdr:from>
    <xdr:to>
      <xdr:col>2</xdr:col>
      <xdr:colOff>580070</xdr:colOff>
      <xdr:row>17</xdr:row>
      <xdr:rowOff>54216</xdr:rowOff>
    </xdr:to>
    <xdr:sp macro="" textlink="">
      <xdr:nvSpPr>
        <xdr:cNvPr id="190" name="TextBox 189">
          <a:extLst>
            <a:ext uri="{FF2B5EF4-FFF2-40B4-BE49-F238E27FC236}">
              <a16:creationId xmlns:a16="http://schemas.microsoft.com/office/drawing/2014/main" id="{254CEB37-239C-57CB-D68B-2B416568AD4E}"/>
            </a:ext>
          </a:extLst>
        </xdr:cNvPr>
        <xdr:cNvSpPr txBox="1"/>
      </xdr:nvSpPr>
      <xdr:spPr>
        <a:xfrm>
          <a:off x="540383" y="2718994"/>
          <a:ext cx="1250156" cy="371316"/>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solidFill>
                <a:schemeClr val="bg1">
                  <a:lumMod val="95000"/>
                </a:schemeClr>
              </a:solidFill>
            </a:rPr>
            <a:t>Design</a:t>
          </a:r>
          <a:r>
            <a:rPr lang="en-IN" sz="1100" baseline="0">
              <a:solidFill>
                <a:schemeClr val="bg1">
                  <a:lumMod val="95000"/>
                </a:schemeClr>
              </a:solidFill>
            </a:rPr>
            <a:t> </a:t>
          </a:r>
          <a:endParaRPr lang="en-IN" sz="1100">
            <a:solidFill>
              <a:schemeClr val="bg1">
                <a:lumMod val="95000"/>
              </a:schemeClr>
            </a:solidFill>
          </a:endParaRPr>
        </a:p>
      </xdr:txBody>
    </xdr:sp>
    <xdr:clientData/>
  </xdr:twoCellAnchor>
  <xdr:twoCellAnchor>
    <xdr:from>
      <xdr:col>0</xdr:col>
      <xdr:colOff>539986</xdr:colOff>
      <xdr:row>17</xdr:row>
      <xdr:rowOff>54217</xdr:rowOff>
    </xdr:from>
    <xdr:to>
      <xdr:col>2</xdr:col>
      <xdr:colOff>581578</xdr:colOff>
      <xdr:row>19</xdr:row>
      <xdr:rowOff>64536</xdr:rowOff>
    </xdr:to>
    <xdr:sp macro="" textlink="">
      <xdr:nvSpPr>
        <xdr:cNvPr id="191" name="TextBox 190">
          <a:extLst>
            <a:ext uri="{FF2B5EF4-FFF2-40B4-BE49-F238E27FC236}">
              <a16:creationId xmlns:a16="http://schemas.microsoft.com/office/drawing/2014/main" id="{36078FBE-E3FD-6296-8D38-14F30D549EBB}"/>
            </a:ext>
          </a:extLst>
        </xdr:cNvPr>
        <xdr:cNvSpPr txBox="1"/>
      </xdr:nvSpPr>
      <xdr:spPr>
        <a:xfrm>
          <a:off x="539986" y="3090311"/>
          <a:ext cx="1252061" cy="367506"/>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solidFill>
                <a:schemeClr val="bg1">
                  <a:lumMod val="95000"/>
                </a:schemeClr>
              </a:solidFill>
            </a:rPr>
            <a:t>Excel</a:t>
          </a:r>
        </a:p>
      </xdr:txBody>
    </xdr:sp>
    <xdr:clientData/>
  </xdr:twoCellAnchor>
  <xdr:twoCellAnchor>
    <xdr:from>
      <xdr:col>0</xdr:col>
      <xdr:colOff>539986</xdr:colOff>
      <xdr:row>19</xdr:row>
      <xdr:rowOff>53820</xdr:rowOff>
    </xdr:from>
    <xdr:to>
      <xdr:col>2</xdr:col>
      <xdr:colOff>579673</xdr:colOff>
      <xdr:row>21</xdr:row>
      <xdr:rowOff>56518</xdr:rowOff>
    </xdr:to>
    <xdr:sp macro="" textlink="">
      <xdr:nvSpPr>
        <xdr:cNvPr id="192" name="TextBox 191">
          <a:extLst>
            <a:ext uri="{FF2B5EF4-FFF2-40B4-BE49-F238E27FC236}">
              <a16:creationId xmlns:a16="http://schemas.microsoft.com/office/drawing/2014/main" id="{045A13DF-8938-17E9-C171-3FB50714B894}"/>
            </a:ext>
          </a:extLst>
        </xdr:cNvPr>
        <xdr:cNvSpPr txBox="1"/>
      </xdr:nvSpPr>
      <xdr:spPr>
        <a:xfrm>
          <a:off x="539986" y="3447101"/>
          <a:ext cx="1250156" cy="359886"/>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solidFill>
                <a:schemeClr val="bg1">
                  <a:lumMod val="95000"/>
                </a:schemeClr>
              </a:solidFill>
            </a:rPr>
            <a:t>Management</a:t>
          </a:r>
        </a:p>
      </xdr:txBody>
    </xdr:sp>
    <xdr:clientData/>
  </xdr:twoCellAnchor>
  <xdr:twoCellAnchor>
    <xdr:from>
      <xdr:col>0</xdr:col>
      <xdr:colOff>545305</xdr:colOff>
      <xdr:row>21</xdr:row>
      <xdr:rowOff>55328</xdr:rowOff>
    </xdr:from>
    <xdr:to>
      <xdr:col>2</xdr:col>
      <xdr:colOff>604042</xdr:colOff>
      <xdr:row>23</xdr:row>
      <xdr:rowOff>59932</xdr:rowOff>
    </xdr:to>
    <xdr:sp macro="" textlink="">
      <xdr:nvSpPr>
        <xdr:cNvPr id="193" name="TextBox 192">
          <a:extLst>
            <a:ext uri="{FF2B5EF4-FFF2-40B4-BE49-F238E27FC236}">
              <a16:creationId xmlns:a16="http://schemas.microsoft.com/office/drawing/2014/main" id="{C6D75D19-32F4-FDC4-55D8-6FB13CA88236}"/>
            </a:ext>
          </a:extLst>
        </xdr:cNvPr>
        <xdr:cNvSpPr txBox="1"/>
      </xdr:nvSpPr>
      <xdr:spPr>
        <a:xfrm>
          <a:off x="545305" y="3805797"/>
          <a:ext cx="1269206" cy="361791"/>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solidFill>
                <a:schemeClr val="bg1">
                  <a:lumMod val="95000"/>
                </a:schemeClr>
              </a:solidFill>
            </a:rPr>
            <a:t>Python</a:t>
          </a:r>
        </a:p>
      </xdr:txBody>
    </xdr:sp>
    <xdr:clientData/>
  </xdr:twoCellAnchor>
  <xdr:twoCellAnchor>
    <xdr:from>
      <xdr:col>2</xdr:col>
      <xdr:colOff>379276</xdr:colOff>
      <xdr:row>13</xdr:row>
      <xdr:rowOff>39690</xdr:rowOff>
    </xdr:from>
    <xdr:to>
      <xdr:col>3</xdr:col>
      <xdr:colOff>589303</xdr:colOff>
      <xdr:row>15</xdr:row>
      <xdr:rowOff>50009</xdr:rowOff>
    </xdr:to>
    <xdr:sp macro="" textlink="'Pivot tables'!T12">
      <xdr:nvSpPr>
        <xdr:cNvPr id="196" name="TextBox 195">
          <a:extLst>
            <a:ext uri="{FF2B5EF4-FFF2-40B4-BE49-F238E27FC236}">
              <a16:creationId xmlns:a16="http://schemas.microsoft.com/office/drawing/2014/main" id="{1F0E5F84-CDA6-0526-9BA8-D9C28C817B05}"/>
            </a:ext>
          </a:extLst>
        </xdr:cNvPr>
        <xdr:cNvSpPr txBox="1"/>
      </xdr:nvSpPr>
      <xdr:spPr>
        <a:xfrm>
          <a:off x="1589745" y="2361409"/>
          <a:ext cx="815261" cy="367506"/>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FEF94567-2B2C-472B-8AEA-6F726085F7D2}" type="TxLink">
            <a:rPr lang="en-US" sz="1600" b="1">
              <a:solidFill>
                <a:srgbClr val="E5B244"/>
              </a:solidFill>
              <a:latin typeface="Arial" panose="020B0604020202020204" pitchFamily="34" charset="0"/>
              <a:ea typeface="+mn-ea"/>
              <a:cs typeface="Arial" panose="020B0604020202020204" pitchFamily="34" charset="0"/>
            </a:rPr>
            <a:pPr marL="0" indent="0" algn="r"/>
            <a:t>1</a:t>
          </a:fld>
          <a:endParaRPr lang="en-IN" sz="1600" b="1">
            <a:solidFill>
              <a:srgbClr val="E5B244"/>
            </a:solidFill>
            <a:latin typeface="Arial" panose="020B0604020202020204" pitchFamily="34" charset="0"/>
            <a:ea typeface="+mn-ea"/>
            <a:cs typeface="Arial" panose="020B0604020202020204" pitchFamily="34" charset="0"/>
          </a:endParaRPr>
        </a:p>
      </xdr:txBody>
    </xdr:sp>
    <xdr:clientData/>
  </xdr:twoCellAnchor>
  <xdr:twoCellAnchor>
    <xdr:from>
      <xdr:col>2</xdr:col>
      <xdr:colOff>416533</xdr:colOff>
      <xdr:row>15</xdr:row>
      <xdr:rowOff>5718</xdr:rowOff>
    </xdr:from>
    <xdr:to>
      <xdr:col>4</xdr:col>
      <xdr:colOff>19668</xdr:colOff>
      <xdr:row>16</xdr:row>
      <xdr:rowOff>175580</xdr:rowOff>
    </xdr:to>
    <xdr:sp macro="" textlink="'Pivot tables'!T13">
      <xdr:nvSpPr>
        <xdr:cNvPr id="197" name="TextBox 196">
          <a:extLst>
            <a:ext uri="{FF2B5EF4-FFF2-40B4-BE49-F238E27FC236}">
              <a16:creationId xmlns:a16="http://schemas.microsoft.com/office/drawing/2014/main" id="{39BD3154-044E-404B-E806-F5E6F52318BC}"/>
            </a:ext>
          </a:extLst>
        </xdr:cNvPr>
        <xdr:cNvSpPr txBox="1"/>
      </xdr:nvSpPr>
      <xdr:spPr>
        <a:xfrm>
          <a:off x="1627002" y="2684624"/>
          <a:ext cx="813604" cy="348456"/>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493CB3F1-5A7E-4D28-BADD-D21A00D20E55}" type="TxLink">
            <a:rPr lang="en-US" sz="1600" b="1">
              <a:solidFill>
                <a:srgbClr val="E5B244"/>
              </a:solidFill>
              <a:latin typeface="Arial" panose="020B0604020202020204" pitchFamily="34" charset="0"/>
              <a:ea typeface="+mn-ea"/>
              <a:cs typeface="Arial" panose="020B0604020202020204" pitchFamily="34" charset="0"/>
            </a:rPr>
            <a:pPr marL="0" indent="0" algn="r"/>
            <a:t>2</a:t>
          </a:fld>
          <a:endParaRPr lang="en-IN" sz="1600" b="1">
            <a:solidFill>
              <a:srgbClr val="E5B244"/>
            </a:solidFill>
            <a:latin typeface="Arial" panose="020B0604020202020204" pitchFamily="34" charset="0"/>
            <a:ea typeface="+mn-ea"/>
            <a:cs typeface="Arial" panose="020B0604020202020204" pitchFamily="34" charset="0"/>
          </a:endParaRPr>
        </a:p>
      </xdr:txBody>
    </xdr:sp>
    <xdr:clientData/>
  </xdr:twoCellAnchor>
  <xdr:twoCellAnchor>
    <xdr:from>
      <xdr:col>2</xdr:col>
      <xdr:colOff>397173</xdr:colOff>
      <xdr:row>16</xdr:row>
      <xdr:rowOff>175581</xdr:rowOff>
    </xdr:from>
    <xdr:to>
      <xdr:col>4</xdr:col>
      <xdr:colOff>16006</xdr:colOff>
      <xdr:row>19</xdr:row>
      <xdr:rowOff>39691</xdr:rowOff>
    </xdr:to>
    <xdr:sp macro="" textlink="'Pivot tables'!T14">
      <xdr:nvSpPr>
        <xdr:cNvPr id="198" name="TextBox 197">
          <a:extLst>
            <a:ext uri="{FF2B5EF4-FFF2-40B4-BE49-F238E27FC236}">
              <a16:creationId xmlns:a16="http://schemas.microsoft.com/office/drawing/2014/main" id="{302E5CE7-25F0-23E7-5AE6-D2ED38B757F7}"/>
            </a:ext>
          </a:extLst>
        </xdr:cNvPr>
        <xdr:cNvSpPr txBox="1"/>
      </xdr:nvSpPr>
      <xdr:spPr>
        <a:xfrm>
          <a:off x="1607642" y="3033081"/>
          <a:ext cx="829302" cy="399891"/>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18DD27EA-6867-4AF1-A868-516BA6285E0C}" type="TxLink">
            <a:rPr lang="en-US" sz="1600" b="1">
              <a:solidFill>
                <a:srgbClr val="E5B244"/>
              </a:solidFill>
              <a:latin typeface="Arial" panose="020B0604020202020204" pitchFamily="34" charset="0"/>
              <a:ea typeface="+mn-ea"/>
              <a:cs typeface="Arial" panose="020B0604020202020204" pitchFamily="34" charset="0"/>
            </a:rPr>
            <a:pPr marL="0" indent="0" algn="r"/>
            <a:t>1</a:t>
          </a:fld>
          <a:endParaRPr lang="en-IN" sz="1600" b="1">
            <a:solidFill>
              <a:srgbClr val="E5B244"/>
            </a:solidFill>
            <a:latin typeface="Arial" panose="020B0604020202020204" pitchFamily="34" charset="0"/>
            <a:ea typeface="+mn-ea"/>
            <a:cs typeface="Arial" panose="020B0604020202020204" pitchFamily="34" charset="0"/>
          </a:endParaRPr>
        </a:p>
      </xdr:txBody>
    </xdr:sp>
    <xdr:clientData/>
  </xdr:twoCellAnchor>
  <xdr:twoCellAnchor>
    <xdr:from>
      <xdr:col>2</xdr:col>
      <xdr:colOff>416533</xdr:colOff>
      <xdr:row>19</xdr:row>
      <xdr:rowOff>17545</xdr:rowOff>
    </xdr:from>
    <xdr:to>
      <xdr:col>4</xdr:col>
      <xdr:colOff>19668</xdr:colOff>
      <xdr:row>21</xdr:row>
      <xdr:rowOff>22148</xdr:rowOff>
    </xdr:to>
    <xdr:sp macro="" textlink="'Pivot tables'!T15">
      <xdr:nvSpPr>
        <xdr:cNvPr id="199" name="TextBox 198">
          <a:extLst>
            <a:ext uri="{FF2B5EF4-FFF2-40B4-BE49-F238E27FC236}">
              <a16:creationId xmlns:a16="http://schemas.microsoft.com/office/drawing/2014/main" id="{18838DFA-8921-1C23-E764-C994824E5AB7}"/>
            </a:ext>
          </a:extLst>
        </xdr:cNvPr>
        <xdr:cNvSpPr txBox="1"/>
      </xdr:nvSpPr>
      <xdr:spPr>
        <a:xfrm>
          <a:off x="1627002" y="3410826"/>
          <a:ext cx="813604" cy="361791"/>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79AD006E-E126-408C-92D2-78373078E9D4}" type="TxLink">
            <a:rPr lang="en-US" sz="1600" b="1">
              <a:solidFill>
                <a:srgbClr val="E5B244"/>
              </a:solidFill>
              <a:latin typeface="Arial" panose="020B0604020202020204" pitchFamily="34" charset="0"/>
              <a:ea typeface="+mn-ea"/>
              <a:cs typeface="Arial" panose="020B0604020202020204" pitchFamily="34" charset="0"/>
            </a:rPr>
            <a:pPr marL="0" indent="0" algn="r"/>
            <a:t>1</a:t>
          </a:fld>
          <a:endParaRPr lang="en-IN" sz="1600" b="1">
            <a:solidFill>
              <a:srgbClr val="E5B244"/>
            </a:solidFill>
            <a:latin typeface="Arial" panose="020B0604020202020204" pitchFamily="34" charset="0"/>
            <a:ea typeface="+mn-ea"/>
            <a:cs typeface="Arial" panose="020B0604020202020204" pitchFamily="34" charset="0"/>
          </a:endParaRPr>
        </a:p>
      </xdr:txBody>
    </xdr:sp>
    <xdr:clientData/>
  </xdr:twoCellAnchor>
  <xdr:twoCellAnchor>
    <xdr:from>
      <xdr:col>2</xdr:col>
      <xdr:colOff>401073</xdr:colOff>
      <xdr:row>21</xdr:row>
      <xdr:rowOff>26673</xdr:rowOff>
    </xdr:from>
    <xdr:to>
      <xdr:col>4</xdr:col>
      <xdr:colOff>16646</xdr:colOff>
      <xdr:row>23</xdr:row>
      <xdr:rowOff>31277</xdr:rowOff>
    </xdr:to>
    <xdr:sp macro="" textlink="'Pivot tables'!T16">
      <xdr:nvSpPr>
        <xdr:cNvPr id="200" name="TextBox 199">
          <a:extLst>
            <a:ext uri="{FF2B5EF4-FFF2-40B4-BE49-F238E27FC236}">
              <a16:creationId xmlns:a16="http://schemas.microsoft.com/office/drawing/2014/main" id="{00A3866B-453D-E7D6-3306-E4D30FB848F7}"/>
            </a:ext>
          </a:extLst>
        </xdr:cNvPr>
        <xdr:cNvSpPr txBox="1"/>
      </xdr:nvSpPr>
      <xdr:spPr>
        <a:xfrm>
          <a:off x="1611542" y="3777142"/>
          <a:ext cx="826042" cy="361791"/>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86154B2C-FE85-4608-9516-F9EE88148C88}" type="TxLink">
            <a:rPr lang="en-US" sz="1600" b="1">
              <a:solidFill>
                <a:srgbClr val="E5B244"/>
              </a:solidFill>
              <a:latin typeface="Arial" panose="020B0604020202020204" pitchFamily="34" charset="0"/>
              <a:ea typeface="+mn-ea"/>
              <a:cs typeface="Arial" panose="020B0604020202020204" pitchFamily="34" charset="0"/>
            </a:rPr>
            <a:pPr marL="0" indent="0" algn="r"/>
            <a:t>4</a:t>
          </a:fld>
          <a:endParaRPr lang="en-IN" sz="1600" b="1">
            <a:solidFill>
              <a:srgbClr val="E5B244"/>
            </a:solidFill>
            <a:latin typeface="Arial" panose="020B0604020202020204" pitchFamily="34" charset="0"/>
            <a:ea typeface="+mn-ea"/>
            <a:cs typeface="Arial" panose="020B0604020202020204" pitchFamily="34" charset="0"/>
          </a:endParaRPr>
        </a:p>
      </xdr:txBody>
    </xdr:sp>
    <xdr:clientData/>
  </xdr:twoCellAnchor>
  <xdr:twoCellAnchor>
    <xdr:from>
      <xdr:col>0</xdr:col>
      <xdr:colOff>524349</xdr:colOff>
      <xdr:row>9</xdr:row>
      <xdr:rowOff>140809</xdr:rowOff>
    </xdr:from>
    <xdr:to>
      <xdr:col>3</xdr:col>
      <xdr:colOff>373218</xdr:colOff>
      <xdr:row>13</xdr:row>
      <xdr:rowOff>160655</xdr:rowOff>
    </xdr:to>
    <xdr:sp macro="" textlink="">
      <xdr:nvSpPr>
        <xdr:cNvPr id="210" name="TextBox 209">
          <a:extLst>
            <a:ext uri="{FF2B5EF4-FFF2-40B4-BE49-F238E27FC236}">
              <a16:creationId xmlns:a16="http://schemas.microsoft.com/office/drawing/2014/main" id="{1A746E2D-69EE-BB80-50E8-BFA51B8257B6}"/>
            </a:ext>
          </a:extLst>
        </xdr:cNvPr>
        <xdr:cNvSpPr txBox="1"/>
      </xdr:nvSpPr>
      <xdr:spPr>
        <a:xfrm>
          <a:off x="524349" y="1748153"/>
          <a:ext cx="1664572" cy="734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a:solidFill>
                <a:srgbClr val="E5B244"/>
              </a:solidFill>
              <a:latin typeface="Arial" panose="020B0604020202020204" pitchFamily="34" charset="0"/>
              <a:cs typeface="Arial" panose="020B0604020202020204" pitchFamily="34" charset="0"/>
            </a:rPr>
            <a:t>Skills </a:t>
          </a:r>
        </a:p>
        <a:p>
          <a:pPr algn="l"/>
          <a:r>
            <a:rPr lang="en-IN" sz="1700" b="1">
              <a:solidFill>
                <a:srgbClr val="E5B244"/>
              </a:solidFill>
              <a:latin typeface="Arial" panose="020B0604020202020204" pitchFamily="34" charset="0"/>
              <a:cs typeface="Arial" panose="020B0604020202020204" pitchFamily="34" charset="0"/>
            </a:rPr>
            <a:t>Breakdown</a:t>
          </a:r>
        </a:p>
        <a:p>
          <a:pPr algn="l"/>
          <a:endParaRPr lang="en-IN" sz="1800" b="1">
            <a:solidFill>
              <a:srgbClr val="E5B244"/>
            </a:solidFill>
            <a:latin typeface="Arial" panose="020B0604020202020204" pitchFamily="34" charset="0"/>
            <a:cs typeface="Arial" panose="020B0604020202020204" pitchFamily="34" charset="0"/>
          </a:endParaRPr>
        </a:p>
        <a:p>
          <a:pPr algn="l"/>
          <a:endParaRPr lang="en-IN" sz="1800" b="1">
            <a:solidFill>
              <a:srgbClr val="E5B244"/>
            </a:solidFill>
            <a:latin typeface="Arial" panose="020B0604020202020204" pitchFamily="34" charset="0"/>
            <a:cs typeface="Arial" panose="020B0604020202020204" pitchFamily="34" charset="0"/>
          </a:endParaRPr>
        </a:p>
      </xdr:txBody>
    </xdr:sp>
    <xdr:clientData/>
  </xdr:twoCellAnchor>
  <xdr:twoCellAnchor editAs="oneCell">
    <xdr:from>
      <xdr:col>1</xdr:col>
      <xdr:colOff>597616</xdr:colOff>
      <xdr:row>6</xdr:row>
      <xdr:rowOff>75566</xdr:rowOff>
    </xdr:from>
    <xdr:to>
      <xdr:col>3</xdr:col>
      <xdr:colOff>59532</xdr:colOff>
      <xdr:row>10</xdr:row>
      <xdr:rowOff>22793</xdr:rowOff>
    </xdr:to>
    <xdr:pic>
      <xdr:nvPicPr>
        <xdr:cNvPr id="212" name="Graphic 211" descr="Customer review with solid fill">
          <a:extLst>
            <a:ext uri="{FF2B5EF4-FFF2-40B4-BE49-F238E27FC236}">
              <a16:creationId xmlns:a16="http://schemas.microsoft.com/office/drawing/2014/main" id="{6878D4A4-5BE2-2AAD-A615-158AF32380C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02850" y="1147129"/>
          <a:ext cx="672385" cy="653982"/>
        </a:xfrm>
        <a:prstGeom prst="rect">
          <a:avLst/>
        </a:prstGeom>
        <a:effectLst/>
      </xdr:spPr>
    </xdr:pic>
    <xdr:clientData/>
  </xdr:twoCellAnchor>
  <xdr:twoCellAnchor>
    <xdr:from>
      <xdr:col>4</xdr:col>
      <xdr:colOff>573761</xdr:colOff>
      <xdr:row>8</xdr:row>
      <xdr:rowOff>3809</xdr:rowOff>
    </xdr:from>
    <xdr:to>
      <xdr:col>6</xdr:col>
      <xdr:colOff>331232</xdr:colOff>
      <xdr:row>11</xdr:row>
      <xdr:rowOff>55722</xdr:rowOff>
    </xdr:to>
    <xdr:sp macro="" textlink="'Pivot tables'!J24">
      <xdr:nvSpPr>
        <xdr:cNvPr id="213" name="TextBox 212">
          <a:extLst>
            <a:ext uri="{FF2B5EF4-FFF2-40B4-BE49-F238E27FC236}">
              <a16:creationId xmlns:a16="http://schemas.microsoft.com/office/drawing/2014/main" id="{E7F532DD-50CB-626D-2B43-75F35226442B}"/>
            </a:ext>
          </a:extLst>
        </xdr:cNvPr>
        <xdr:cNvSpPr txBox="1"/>
      </xdr:nvSpPr>
      <xdr:spPr>
        <a:xfrm>
          <a:off x="2994699" y="1432559"/>
          <a:ext cx="967939" cy="587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A6FC6BA-D92A-45DD-AE0D-451F436C773E}" type="TxLink">
            <a:rPr lang="en-US" sz="4000" b="0" i="0" u="none" strike="noStrike">
              <a:solidFill>
                <a:schemeClr val="bg1">
                  <a:lumMod val="95000"/>
                </a:schemeClr>
              </a:solidFill>
              <a:latin typeface="Arial"/>
              <a:cs typeface="Arial"/>
            </a:rPr>
            <a:t>9</a:t>
          </a:fld>
          <a:endParaRPr lang="en-IN" sz="4000" b="1">
            <a:solidFill>
              <a:schemeClr val="bg1">
                <a:lumMod val="95000"/>
              </a:schemeClr>
            </a:solidFill>
          </a:endParaRPr>
        </a:p>
      </xdr:txBody>
    </xdr:sp>
    <xdr:clientData/>
  </xdr:twoCellAnchor>
  <xdr:twoCellAnchor>
    <xdr:from>
      <xdr:col>4</xdr:col>
      <xdr:colOff>573761</xdr:colOff>
      <xdr:row>11</xdr:row>
      <xdr:rowOff>73263</xdr:rowOff>
    </xdr:from>
    <xdr:to>
      <xdr:col>8</xdr:col>
      <xdr:colOff>202247</xdr:colOff>
      <xdr:row>13</xdr:row>
      <xdr:rowOff>58737</xdr:rowOff>
    </xdr:to>
    <xdr:sp macro="" textlink="">
      <xdr:nvSpPr>
        <xdr:cNvPr id="214" name="TextBox 213">
          <a:extLst>
            <a:ext uri="{FF2B5EF4-FFF2-40B4-BE49-F238E27FC236}">
              <a16:creationId xmlns:a16="http://schemas.microsoft.com/office/drawing/2014/main" id="{9DC8353F-FBAB-696B-438C-6FB40E360DB6}"/>
            </a:ext>
          </a:extLst>
        </xdr:cNvPr>
        <xdr:cNvSpPr txBox="1"/>
      </xdr:nvSpPr>
      <xdr:spPr>
        <a:xfrm>
          <a:off x="2994699" y="2037794"/>
          <a:ext cx="2049423" cy="342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0">
              <a:solidFill>
                <a:schemeClr val="bg1">
                  <a:lumMod val="95000"/>
                </a:schemeClr>
              </a:solidFill>
            </a:rPr>
            <a:t>Total</a:t>
          </a:r>
          <a:r>
            <a:rPr lang="en-IN" sz="1200" b="0" baseline="0">
              <a:solidFill>
                <a:schemeClr val="bg1">
                  <a:lumMod val="95000"/>
                </a:schemeClr>
              </a:solidFill>
            </a:rPr>
            <a:t> employees</a:t>
          </a:r>
          <a:endParaRPr lang="en-IN" sz="1200" b="0">
            <a:solidFill>
              <a:schemeClr val="bg1">
                <a:lumMod val="95000"/>
              </a:schemeClr>
            </a:solidFill>
          </a:endParaRPr>
        </a:p>
      </xdr:txBody>
    </xdr:sp>
    <xdr:clientData/>
  </xdr:twoCellAnchor>
  <xdr:twoCellAnchor>
    <xdr:from>
      <xdr:col>5</xdr:col>
      <xdr:colOff>31471</xdr:colOff>
      <xdr:row>6</xdr:row>
      <xdr:rowOff>93107</xdr:rowOff>
    </xdr:from>
    <xdr:to>
      <xdr:col>8</xdr:col>
      <xdr:colOff>535781</xdr:colOff>
      <xdr:row>8</xdr:row>
      <xdr:rowOff>59532</xdr:rowOff>
    </xdr:to>
    <xdr:sp macro="" textlink="">
      <xdr:nvSpPr>
        <xdr:cNvPr id="215" name="TextBox 214">
          <a:extLst>
            <a:ext uri="{FF2B5EF4-FFF2-40B4-BE49-F238E27FC236}">
              <a16:creationId xmlns:a16="http://schemas.microsoft.com/office/drawing/2014/main" id="{EF32E2CF-CC2B-BE91-A91F-6364FD7B277A}"/>
            </a:ext>
          </a:extLst>
        </xdr:cNvPr>
        <xdr:cNvSpPr txBox="1"/>
      </xdr:nvSpPr>
      <xdr:spPr>
        <a:xfrm>
          <a:off x="3057643" y="1164670"/>
          <a:ext cx="2320013" cy="323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50" b="1">
              <a:solidFill>
                <a:srgbClr val="E5B244"/>
              </a:solidFill>
            </a:rPr>
            <a:t>Employees</a:t>
          </a:r>
          <a:r>
            <a:rPr lang="en-IN" sz="1650" b="1" baseline="0">
              <a:solidFill>
                <a:srgbClr val="E5B244"/>
              </a:solidFill>
            </a:rPr>
            <a:t> Number</a:t>
          </a:r>
          <a:endParaRPr lang="en-IN" sz="1650" b="1">
            <a:solidFill>
              <a:srgbClr val="E5B244"/>
            </a:solidFill>
          </a:endParaRPr>
        </a:p>
      </xdr:txBody>
    </xdr:sp>
    <xdr:clientData/>
  </xdr:twoCellAnchor>
  <xdr:twoCellAnchor editAs="oneCell">
    <xdr:from>
      <xdr:col>7</xdr:col>
      <xdr:colOff>386952</xdr:colOff>
      <xdr:row>7</xdr:row>
      <xdr:rowOff>99219</xdr:rowOff>
    </xdr:from>
    <xdr:to>
      <xdr:col>9</xdr:col>
      <xdr:colOff>92789</xdr:colOff>
      <xdr:row>12</xdr:row>
      <xdr:rowOff>116840</xdr:rowOff>
    </xdr:to>
    <xdr:pic>
      <xdr:nvPicPr>
        <xdr:cNvPr id="217" name="Graphic 216" descr="Group success with solid fill">
          <a:extLst>
            <a:ext uri="{FF2B5EF4-FFF2-40B4-BE49-F238E27FC236}">
              <a16:creationId xmlns:a16="http://schemas.microsoft.com/office/drawing/2014/main" id="{4EB2D3A5-EDF2-C066-F5A6-6594B753344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623593" y="1349375"/>
          <a:ext cx="916305" cy="910590"/>
        </a:xfrm>
        <a:prstGeom prst="rect">
          <a:avLst/>
        </a:prstGeom>
      </xdr:spPr>
    </xdr:pic>
    <xdr:clientData/>
  </xdr:twoCellAnchor>
  <xdr:twoCellAnchor>
    <xdr:from>
      <xdr:col>5</xdr:col>
      <xdr:colOff>275708</xdr:colOff>
      <xdr:row>13</xdr:row>
      <xdr:rowOff>120967</xdr:rowOff>
    </xdr:from>
    <xdr:to>
      <xdr:col>7</xdr:col>
      <xdr:colOff>8017</xdr:colOff>
      <xdr:row>15</xdr:row>
      <xdr:rowOff>93107</xdr:rowOff>
    </xdr:to>
    <xdr:sp macro="" textlink="">
      <xdr:nvSpPr>
        <xdr:cNvPr id="218" name="TextBox 217">
          <a:extLst>
            <a:ext uri="{FF2B5EF4-FFF2-40B4-BE49-F238E27FC236}">
              <a16:creationId xmlns:a16="http://schemas.microsoft.com/office/drawing/2014/main" id="{156CB498-8B46-6358-6891-F66EABA1BD56}"/>
            </a:ext>
          </a:extLst>
        </xdr:cNvPr>
        <xdr:cNvSpPr txBox="1"/>
      </xdr:nvSpPr>
      <xdr:spPr>
        <a:xfrm>
          <a:off x="3301880" y="2442686"/>
          <a:ext cx="942778" cy="329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0">
              <a:solidFill>
                <a:srgbClr val="E5B244"/>
              </a:solidFill>
            </a:rPr>
            <a:t>Males</a:t>
          </a:r>
        </a:p>
      </xdr:txBody>
    </xdr:sp>
    <xdr:clientData/>
  </xdr:twoCellAnchor>
  <xdr:twoCellAnchor>
    <xdr:from>
      <xdr:col>7</xdr:col>
      <xdr:colOff>355083</xdr:colOff>
      <xdr:row>13</xdr:row>
      <xdr:rowOff>127079</xdr:rowOff>
    </xdr:from>
    <xdr:to>
      <xdr:col>9</xdr:col>
      <xdr:colOff>85488</xdr:colOff>
      <xdr:row>15</xdr:row>
      <xdr:rowOff>99219</xdr:rowOff>
    </xdr:to>
    <xdr:sp macro="" textlink="">
      <xdr:nvSpPr>
        <xdr:cNvPr id="219" name="TextBox 218">
          <a:extLst>
            <a:ext uri="{FF2B5EF4-FFF2-40B4-BE49-F238E27FC236}">
              <a16:creationId xmlns:a16="http://schemas.microsoft.com/office/drawing/2014/main" id="{CE07D0A8-13A8-EAAF-E125-514DF9E93DE4}"/>
            </a:ext>
          </a:extLst>
        </xdr:cNvPr>
        <xdr:cNvSpPr txBox="1"/>
      </xdr:nvSpPr>
      <xdr:spPr>
        <a:xfrm>
          <a:off x="4591724" y="2448798"/>
          <a:ext cx="940873" cy="329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0">
              <a:solidFill>
                <a:srgbClr val="E5B244"/>
              </a:solidFill>
            </a:rPr>
            <a:t>Females</a:t>
          </a:r>
        </a:p>
      </xdr:txBody>
    </xdr:sp>
    <xdr:clientData/>
  </xdr:twoCellAnchor>
  <xdr:twoCellAnchor>
    <xdr:from>
      <xdr:col>7</xdr:col>
      <xdr:colOff>265588</xdr:colOff>
      <xdr:row>14</xdr:row>
      <xdr:rowOff>110649</xdr:rowOff>
    </xdr:from>
    <xdr:to>
      <xdr:col>9</xdr:col>
      <xdr:colOff>112951</xdr:colOff>
      <xdr:row>20</xdr:row>
      <xdr:rowOff>154941</xdr:rowOff>
    </xdr:to>
    <xdr:graphicFrame macro="">
      <xdr:nvGraphicFramePr>
        <xdr:cNvPr id="220" name="Chart 219">
          <a:extLst>
            <a:ext uri="{FF2B5EF4-FFF2-40B4-BE49-F238E27FC236}">
              <a16:creationId xmlns:a16="http://schemas.microsoft.com/office/drawing/2014/main" id="{7F01E420-779B-4157-8507-C2F98A6E3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567850</xdr:colOff>
      <xdr:row>14</xdr:row>
      <xdr:rowOff>137000</xdr:rowOff>
    </xdr:from>
    <xdr:to>
      <xdr:col>7</xdr:col>
      <xdr:colOff>29765</xdr:colOff>
      <xdr:row>20</xdr:row>
      <xdr:rowOff>138905</xdr:rowOff>
    </xdr:to>
    <xdr:graphicFrame macro="">
      <xdr:nvGraphicFramePr>
        <xdr:cNvPr id="221" name="Chart 220">
          <a:extLst>
            <a:ext uri="{FF2B5EF4-FFF2-40B4-BE49-F238E27FC236}">
              <a16:creationId xmlns:a16="http://schemas.microsoft.com/office/drawing/2014/main" id="{DC8142AC-28D8-4373-B0D9-FD8C509AD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391558</xdr:colOff>
      <xdr:row>17</xdr:row>
      <xdr:rowOff>9922</xdr:rowOff>
    </xdr:from>
    <xdr:to>
      <xdr:col>7</xdr:col>
      <xdr:colOff>440770</xdr:colOff>
      <xdr:row>18</xdr:row>
      <xdr:rowOff>69057</xdr:rowOff>
    </xdr:to>
    <xdr:sp macro="" textlink="'Pivot tables'!K22">
      <xdr:nvSpPr>
        <xdr:cNvPr id="222" name="TextBox 221">
          <a:extLst>
            <a:ext uri="{FF2B5EF4-FFF2-40B4-BE49-F238E27FC236}">
              <a16:creationId xmlns:a16="http://schemas.microsoft.com/office/drawing/2014/main" id="{D8EFA8E1-2936-95A9-01A3-4E7CBBC55F2E}"/>
            </a:ext>
          </a:extLst>
        </xdr:cNvPr>
        <xdr:cNvSpPr txBox="1"/>
      </xdr:nvSpPr>
      <xdr:spPr>
        <a:xfrm>
          <a:off x="3417730" y="3046016"/>
          <a:ext cx="1259681" cy="237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C912631-1944-4591-B4E3-CEA63831301E}" type="TxLink">
            <a:rPr lang="en-US" sz="1400" b="1" i="0" u="none" strike="noStrike">
              <a:solidFill>
                <a:schemeClr val="bg1">
                  <a:lumMod val="95000"/>
                </a:schemeClr>
              </a:solidFill>
              <a:latin typeface="Arial"/>
              <a:ea typeface="+mn-ea"/>
              <a:cs typeface="Arial"/>
            </a:rPr>
            <a:t>56%</a:t>
          </a:fld>
          <a:endParaRPr lang="en-IN" sz="1400" b="1" i="0" u="none" strike="noStrike">
            <a:solidFill>
              <a:schemeClr val="bg1">
                <a:lumMod val="95000"/>
              </a:schemeClr>
            </a:solidFill>
            <a:latin typeface="Arial"/>
            <a:ea typeface="+mn-ea"/>
            <a:cs typeface="Arial"/>
          </a:endParaRPr>
        </a:p>
      </xdr:txBody>
    </xdr:sp>
    <xdr:clientData/>
  </xdr:twoCellAnchor>
  <xdr:twoCellAnchor>
    <xdr:from>
      <xdr:col>7</xdr:col>
      <xdr:colOff>564040</xdr:colOff>
      <xdr:row>17</xdr:row>
      <xdr:rowOff>1</xdr:rowOff>
    </xdr:from>
    <xdr:to>
      <xdr:col>9</xdr:col>
      <xdr:colOff>601823</xdr:colOff>
      <xdr:row>18</xdr:row>
      <xdr:rowOff>59136</xdr:rowOff>
    </xdr:to>
    <xdr:sp macro="" textlink="'Pivot tables'!K23">
      <xdr:nvSpPr>
        <xdr:cNvPr id="223" name="TextBox 222">
          <a:extLst>
            <a:ext uri="{FF2B5EF4-FFF2-40B4-BE49-F238E27FC236}">
              <a16:creationId xmlns:a16="http://schemas.microsoft.com/office/drawing/2014/main" id="{7BD3A461-C226-7203-7C65-9D5D2F2A75F9}"/>
            </a:ext>
          </a:extLst>
        </xdr:cNvPr>
        <xdr:cNvSpPr txBox="1"/>
      </xdr:nvSpPr>
      <xdr:spPr>
        <a:xfrm>
          <a:off x="4800681" y="3036095"/>
          <a:ext cx="1248251" cy="237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8B94F4B-FC43-46D3-8725-0129BF877259}" type="TxLink">
            <a:rPr lang="en-US" sz="1400" b="1" i="0" u="none" strike="noStrike">
              <a:solidFill>
                <a:schemeClr val="bg1">
                  <a:lumMod val="95000"/>
                </a:schemeClr>
              </a:solidFill>
              <a:latin typeface="Arial"/>
              <a:ea typeface="+mn-ea"/>
              <a:cs typeface="Arial"/>
            </a:rPr>
            <a:t>44%</a:t>
          </a:fld>
          <a:endParaRPr lang="en-IN" sz="1400" b="1" i="0" u="none" strike="noStrike">
            <a:solidFill>
              <a:schemeClr val="bg1">
                <a:lumMod val="95000"/>
              </a:schemeClr>
            </a:solidFill>
            <a:latin typeface="Arial"/>
            <a:ea typeface="+mn-ea"/>
            <a:cs typeface="Arial"/>
          </a:endParaRPr>
        </a:p>
      </xdr:txBody>
    </xdr:sp>
    <xdr:clientData/>
  </xdr:twoCellAnchor>
  <xdr:twoCellAnchor>
    <xdr:from>
      <xdr:col>9</xdr:col>
      <xdr:colOff>492284</xdr:colOff>
      <xdr:row>9</xdr:row>
      <xdr:rowOff>77437</xdr:rowOff>
    </xdr:from>
    <xdr:to>
      <xdr:col>14</xdr:col>
      <xdr:colOff>184309</xdr:colOff>
      <xdr:row>20</xdr:row>
      <xdr:rowOff>140812</xdr:rowOff>
    </xdr:to>
    <xdr:graphicFrame macro="">
      <xdr:nvGraphicFramePr>
        <xdr:cNvPr id="224" name="Chart 223">
          <a:extLst>
            <a:ext uri="{FF2B5EF4-FFF2-40B4-BE49-F238E27FC236}">
              <a16:creationId xmlns:a16="http://schemas.microsoft.com/office/drawing/2014/main" id="{0784BFB3-4418-4831-B34F-6ECE44A68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597215</xdr:colOff>
      <xdr:row>6</xdr:row>
      <xdr:rowOff>143005</xdr:rowOff>
    </xdr:from>
    <xdr:to>
      <xdr:col>12</xdr:col>
      <xdr:colOff>293053</xdr:colOff>
      <xdr:row>8</xdr:row>
      <xdr:rowOff>125808</xdr:rowOff>
    </xdr:to>
    <xdr:sp macro="" textlink="">
      <xdr:nvSpPr>
        <xdr:cNvPr id="234" name="TextBox 233">
          <a:extLst>
            <a:ext uri="{FF2B5EF4-FFF2-40B4-BE49-F238E27FC236}">
              <a16:creationId xmlns:a16="http://schemas.microsoft.com/office/drawing/2014/main" id="{3D9E6425-881F-7D36-7EA6-2A4CCB499F24}"/>
            </a:ext>
          </a:extLst>
        </xdr:cNvPr>
        <xdr:cNvSpPr txBox="1"/>
      </xdr:nvSpPr>
      <xdr:spPr>
        <a:xfrm>
          <a:off x="6083615" y="1228855"/>
          <a:ext cx="1524638" cy="344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50" b="1">
              <a:solidFill>
                <a:srgbClr val="E5B244"/>
              </a:solidFill>
            </a:rPr>
            <a:t>Leave Tracking</a:t>
          </a:r>
        </a:p>
      </xdr:txBody>
    </xdr:sp>
    <xdr:clientData/>
  </xdr:twoCellAnchor>
  <xdr:twoCellAnchor>
    <xdr:from>
      <xdr:col>9</xdr:col>
      <xdr:colOff>588086</xdr:colOff>
      <xdr:row>8</xdr:row>
      <xdr:rowOff>38726</xdr:rowOff>
    </xdr:from>
    <xdr:to>
      <xdr:col>14</xdr:col>
      <xdr:colOff>65246</xdr:colOff>
      <xdr:row>9</xdr:row>
      <xdr:rowOff>101361</xdr:rowOff>
    </xdr:to>
    <xdr:sp macro="" textlink="">
      <xdr:nvSpPr>
        <xdr:cNvPr id="235" name="TextBox 234">
          <a:extLst>
            <a:ext uri="{FF2B5EF4-FFF2-40B4-BE49-F238E27FC236}">
              <a16:creationId xmlns:a16="http://schemas.microsoft.com/office/drawing/2014/main" id="{58986230-0E07-DE63-9550-DFECD3BDF8DD}"/>
            </a:ext>
          </a:extLst>
        </xdr:cNvPr>
        <xdr:cNvSpPr txBox="1"/>
      </xdr:nvSpPr>
      <xdr:spPr>
        <a:xfrm>
          <a:off x="6074486" y="1486526"/>
          <a:ext cx="2525160" cy="243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1">
              <a:solidFill>
                <a:schemeClr val="tx1">
                  <a:lumMod val="50000"/>
                  <a:lumOff val="50000"/>
                </a:schemeClr>
              </a:solidFill>
            </a:rPr>
            <a:t>Leave</a:t>
          </a:r>
          <a:r>
            <a:rPr lang="en-IN" sz="1000" b="1" baseline="0">
              <a:solidFill>
                <a:schemeClr val="tx1">
                  <a:lumMod val="50000"/>
                  <a:lumOff val="50000"/>
                </a:schemeClr>
              </a:solidFill>
            </a:rPr>
            <a:t> Taken by job title</a:t>
          </a:r>
          <a:endParaRPr lang="en-IN" sz="1000" b="1">
            <a:solidFill>
              <a:schemeClr val="tx1">
                <a:lumMod val="50000"/>
                <a:lumOff val="50000"/>
              </a:schemeClr>
            </a:solidFill>
          </a:endParaRPr>
        </a:p>
      </xdr:txBody>
    </xdr:sp>
    <xdr:clientData/>
  </xdr:twoCellAnchor>
  <xdr:twoCellAnchor>
    <xdr:from>
      <xdr:col>14</xdr:col>
      <xdr:colOff>412909</xdr:colOff>
      <xdr:row>10</xdr:row>
      <xdr:rowOff>178198</xdr:rowOff>
    </xdr:from>
    <xdr:to>
      <xdr:col>18</xdr:col>
      <xdr:colOff>585390</xdr:colOff>
      <xdr:row>18</xdr:row>
      <xdr:rowOff>128984</xdr:rowOff>
    </xdr:to>
    <xdr:graphicFrame macro="">
      <xdr:nvGraphicFramePr>
        <xdr:cNvPr id="236" name="Chart 235">
          <a:extLst>
            <a:ext uri="{FF2B5EF4-FFF2-40B4-BE49-F238E27FC236}">
              <a16:creationId xmlns:a16="http://schemas.microsoft.com/office/drawing/2014/main" id="{52218E10-77AC-4CC9-A61C-7FFE6F634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514428</xdr:colOff>
      <xdr:row>8</xdr:row>
      <xdr:rowOff>117158</xdr:rowOff>
    </xdr:from>
    <xdr:to>
      <xdr:col>16</xdr:col>
      <xdr:colOff>573165</xdr:colOff>
      <xdr:row>10</xdr:row>
      <xdr:rowOff>154146</xdr:rowOff>
    </xdr:to>
    <xdr:sp macro="" textlink="">
      <xdr:nvSpPr>
        <xdr:cNvPr id="237" name="TextBox 236">
          <a:extLst>
            <a:ext uri="{FF2B5EF4-FFF2-40B4-BE49-F238E27FC236}">
              <a16:creationId xmlns:a16="http://schemas.microsoft.com/office/drawing/2014/main" id="{42070B6D-2521-B081-61BD-FD21F278F4B1}"/>
            </a:ext>
          </a:extLst>
        </xdr:cNvPr>
        <xdr:cNvSpPr txBox="1"/>
      </xdr:nvSpPr>
      <xdr:spPr>
        <a:xfrm>
          <a:off x="8987709" y="1545908"/>
          <a:ext cx="1269206" cy="394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a:solidFill>
                <a:srgbClr val="E5B244"/>
              </a:solidFill>
            </a:rPr>
            <a:t>Regions</a:t>
          </a:r>
        </a:p>
      </xdr:txBody>
    </xdr:sp>
    <xdr:clientData/>
  </xdr:twoCellAnchor>
  <xdr:twoCellAnchor>
    <xdr:from>
      <xdr:col>14</xdr:col>
      <xdr:colOff>460610</xdr:colOff>
      <xdr:row>10</xdr:row>
      <xdr:rowOff>59928</xdr:rowOff>
    </xdr:from>
    <xdr:to>
      <xdr:col>18</xdr:col>
      <xdr:colOff>527764</xdr:colOff>
      <xdr:row>11</xdr:row>
      <xdr:rowOff>117158</xdr:rowOff>
    </xdr:to>
    <xdr:sp macro="" textlink="">
      <xdr:nvSpPr>
        <xdr:cNvPr id="238" name="TextBox 237">
          <a:extLst>
            <a:ext uri="{FF2B5EF4-FFF2-40B4-BE49-F238E27FC236}">
              <a16:creationId xmlns:a16="http://schemas.microsoft.com/office/drawing/2014/main" id="{8F286B57-39C9-2837-757B-7A8CC87616D6}"/>
            </a:ext>
          </a:extLst>
        </xdr:cNvPr>
        <xdr:cNvSpPr txBox="1"/>
      </xdr:nvSpPr>
      <xdr:spPr>
        <a:xfrm>
          <a:off x="8933891" y="1845866"/>
          <a:ext cx="2488092" cy="235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1">
              <a:solidFill>
                <a:schemeClr val="tx1">
                  <a:lumMod val="50000"/>
                  <a:lumOff val="50000"/>
                </a:schemeClr>
              </a:solidFill>
            </a:rPr>
            <a:t>Employees</a:t>
          </a:r>
          <a:r>
            <a:rPr lang="en-IN" sz="1000" b="1" baseline="0">
              <a:solidFill>
                <a:schemeClr val="tx1">
                  <a:lumMod val="50000"/>
                  <a:lumOff val="50000"/>
                </a:schemeClr>
              </a:solidFill>
            </a:rPr>
            <a:t> per region</a:t>
          </a:r>
          <a:endParaRPr lang="en-IN" sz="1000" b="1">
            <a:solidFill>
              <a:schemeClr val="tx1">
                <a:lumMod val="50000"/>
                <a:lumOff val="50000"/>
              </a:schemeClr>
            </a:solidFill>
          </a:endParaRPr>
        </a:p>
      </xdr:txBody>
    </xdr:sp>
    <xdr:clientData/>
  </xdr:twoCellAnchor>
  <xdr:twoCellAnchor>
    <xdr:from>
      <xdr:col>14</xdr:col>
      <xdr:colOff>484465</xdr:colOff>
      <xdr:row>3</xdr:row>
      <xdr:rowOff>67150</xdr:rowOff>
    </xdr:from>
    <xdr:to>
      <xdr:col>16</xdr:col>
      <xdr:colOff>230505</xdr:colOff>
      <xdr:row>6</xdr:row>
      <xdr:rowOff>117157</xdr:rowOff>
    </xdr:to>
    <xdr:sp macro="" textlink="'Pivot tables'!Z17">
      <xdr:nvSpPr>
        <xdr:cNvPr id="239" name="TextBox 238">
          <a:extLst>
            <a:ext uri="{FF2B5EF4-FFF2-40B4-BE49-F238E27FC236}">
              <a16:creationId xmlns:a16="http://schemas.microsoft.com/office/drawing/2014/main" id="{159E8E47-7944-495D-10C3-FC3CE1D7608B}"/>
            </a:ext>
          </a:extLst>
        </xdr:cNvPr>
        <xdr:cNvSpPr txBox="1"/>
      </xdr:nvSpPr>
      <xdr:spPr>
        <a:xfrm>
          <a:off x="8957746" y="602931"/>
          <a:ext cx="956509" cy="585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44BE242-FE35-49DE-90CF-7F8CD4987AD4}" type="TxLink">
            <a:rPr lang="en-US" sz="4000" b="0" i="0" u="none" strike="noStrike">
              <a:solidFill>
                <a:schemeClr val="bg1">
                  <a:lumMod val="95000"/>
                </a:schemeClr>
              </a:solidFill>
              <a:latin typeface="Arial"/>
              <a:ea typeface="+mn-ea"/>
              <a:cs typeface="Arial"/>
            </a:rPr>
            <a:pPr marL="0" indent="0" algn="l"/>
            <a:t>2.6</a:t>
          </a:fld>
          <a:endParaRPr lang="en-IN" sz="4000" b="0" i="0" u="none" strike="noStrike">
            <a:solidFill>
              <a:schemeClr val="bg1">
                <a:lumMod val="95000"/>
              </a:schemeClr>
            </a:solidFill>
            <a:latin typeface="Arial"/>
            <a:ea typeface="+mn-ea"/>
            <a:cs typeface="Arial"/>
          </a:endParaRPr>
        </a:p>
      </xdr:txBody>
    </xdr:sp>
    <xdr:clientData/>
  </xdr:twoCellAnchor>
  <xdr:twoCellAnchor>
    <xdr:from>
      <xdr:col>14</xdr:col>
      <xdr:colOff>469939</xdr:colOff>
      <xdr:row>6</xdr:row>
      <xdr:rowOff>97313</xdr:rowOff>
    </xdr:from>
    <xdr:to>
      <xdr:col>18</xdr:col>
      <xdr:colOff>86994</xdr:colOff>
      <xdr:row>8</xdr:row>
      <xdr:rowOff>80883</xdr:rowOff>
    </xdr:to>
    <xdr:sp macro="" textlink="">
      <xdr:nvSpPr>
        <xdr:cNvPr id="240" name="TextBox 239">
          <a:extLst>
            <a:ext uri="{FF2B5EF4-FFF2-40B4-BE49-F238E27FC236}">
              <a16:creationId xmlns:a16="http://schemas.microsoft.com/office/drawing/2014/main" id="{C16C6BA4-CAC0-2E51-3102-330A6FAF58B4}"/>
            </a:ext>
          </a:extLst>
        </xdr:cNvPr>
        <xdr:cNvSpPr txBox="1"/>
      </xdr:nvSpPr>
      <xdr:spPr>
        <a:xfrm>
          <a:off x="8943220" y="1168876"/>
          <a:ext cx="2037993" cy="34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0">
              <a:solidFill>
                <a:schemeClr val="bg1">
                  <a:lumMod val="95000"/>
                </a:schemeClr>
              </a:solidFill>
            </a:rPr>
            <a:t>Average</a:t>
          </a:r>
          <a:r>
            <a:rPr lang="en-IN" sz="1200" b="0" baseline="0">
              <a:solidFill>
                <a:schemeClr val="bg1">
                  <a:lumMod val="95000"/>
                </a:schemeClr>
              </a:solidFill>
            </a:rPr>
            <a:t> Rating</a:t>
          </a:r>
          <a:endParaRPr lang="en-IN" sz="1200" b="0">
            <a:solidFill>
              <a:schemeClr val="bg1">
                <a:lumMod val="95000"/>
              </a:schemeClr>
            </a:solidFill>
          </a:endParaRPr>
        </a:p>
      </xdr:txBody>
    </xdr:sp>
    <xdr:clientData/>
  </xdr:twoCellAnchor>
  <xdr:twoCellAnchor editAs="oneCell">
    <xdr:from>
      <xdr:col>17</xdr:col>
      <xdr:colOff>236221</xdr:colOff>
      <xdr:row>3</xdr:row>
      <xdr:rowOff>6112</xdr:rowOff>
    </xdr:from>
    <xdr:to>
      <xdr:col>18</xdr:col>
      <xdr:colOff>551101</xdr:colOff>
      <xdr:row>8</xdr:row>
      <xdr:rowOff>35163</xdr:rowOff>
    </xdr:to>
    <xdr:pic>
      <xdr:nvPicPr>
        <xdr:cNvPr id="242" name="Graphic 241" descr="Business Growth with solid fill">
          <a:extLst>
            <a:ext uri="{FF2B5EF4-FFF2-40B4-BE49-F238E27FC236}">
              <a16:creationId xmlns:a16="http://schemas.microsoft.com/office/drawing/2014/main" id="{1D372DEA-CBE1-2A4F-9E8A-0FF7CB61EEB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525205" y="541893"/>
          <a:ext cx="920115" cy="922020"/>
        </a:xfrm>
        <a:prstGeom prst="rect">
          <a:avLst/>
        </a:prstGeom>
      </xdr:spPr>
    </xdr:pic>
    <xdr:clientData/>
  </xdr:twoCellAnchor>
  <xdr:twoCellAnchor>
    <xdr:from>
      <xdr:col>14</xdr:col>
      <xdr:colOff>478551</xdr:colOff>
      <xdr:row>1</xdr:row>
      <xdr:rowOff>27860</xdr:rowOff>
    </xdr:from>
    <xdr:to>
      <xdr:col>18</xdr:col>
      <xdr:colOff>512127</xdr:colOff>
      <xdr:row>3</xdr:row>
      <xdr:rowOff>61039</xdr:rowOff>
    </xdr:to>
    <xdr:sp macro="" textlink="">
      <xdr:nvSpPr>
        <xdr:cNvPr id="243" name="TextBox 242">
          <a:extLst>
            <a:ext uri="{FF2B5EF4-FFF2-40B4-BE49-F238E27FC236}">
              <a16:creationId xmlns:a16="http://schemas.microsoft.com/office/drawing/2014/main" id="{28B2FC13-96D9-5692-A138-47C957C57BA8}"/>
            </a:ext>
          </a:extLst>
        </xdr:cNvPr>
        <xdr:cNvSpPr txBox="1"/>
      </xdr:nvSpPr>
      <xdr:spPr>
        <a:xfrm>
          <a:off x="8951832" y="206454"/>
          <a:ext cx="2454514" cy="390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50" b="1">
              <a:solidFill>
                <a:srgbClr val="E5B244"/>
              </a:solidFill>
            </a:rPr>
            <a:t>Performance</a:t>
          </a:r>
          <a:r>
            <a:rPr lang="en-IN" sz="1650" b="1" baseline="0">
              <a:solidFill>
                <a:srgbClr val="E5B244"/>
              </a:solidFill>
            </a:rPr>
            <a:t> rating</a:t>
          </a:r>
          <a:endParaRPr lang="en-IN" sz="1650" b="1">
            <a:solidFill>
              <a:srgbClr val="E5B244"/>
            </a:solidFill>
          </a:endParaRPr>
        </a:p>
      </xdr:txBody>
    </xdr:sp>
    <xdr:clientData/>
  </xdr:twoCellAnchor>
  <xdr:twoCellAnchor>
    <xdr:from>
      <xdr:col>14</xdr:col>
      <xdr:colOff>450688</xdr:colOff>
      <xdr:row>2</xdr:row>
      <xdr:rowOff>125571</xdr:rowOff>
    </xdr:from>
    <xdr:to>
      <xdr:col>18</xdr:col>
      <xdr:colOff>515937</xdr:colOff>
      <xdr:row>4</xdr:row>
      <xdr:rowOff>8017</xdr:rowOff>
    </xdr:to>
    <xdr:sp macro="" textlink="">
      <xdr:nvSpPr>
        <xdr:cNvPr id="244" name="TextBox 243">
          <a:extLst>
            <a:ext uri="{FF2B5EF4-FFF2-40B4-BE49-F238E27FC236}">
              <a16:creationId xmlns:a16="http://schemas.microsoft.com/office/drawing/2014/main" id="{29C07561-485F-73EC-6C77-CDCA84A76AD0}"/>
            </a:ext>
          </a:extLst>
        </xdr:cNvPr>
        <xdr:cNvSpPr txBox="1"/>
      </xdr:nvSpPr>
      <xdr:spPr>
        <a:xfrm>
          <a:off x="8923969" y="482759"/>
          <a:ext cx="2486187" cy="23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1">
              <a:solidFill>
                <a:schemeClr val="tx1">
                  <a:lumMod val="50000"/>
                  <a:lumOff val="50000"/>
                </a:schemeClr>
              </a:solidFill>
            </a:rPr>
            <a:t>Average</a:t>
          </a:r>
          <a:r>
            <a:rPr lang="en-IN" sz="1000" b="1" baseline="0">
              <a:solidFill>
                <a:schemeClr val="tx1">
                  <a:lumMod val="50000"/>
                  <a:lumOff val="50000"/>
                </a:schemeClr>
              </a:solidFill>
            </a:rPr>
            <a:t> Performance rating</a:t>
          </a:r>
          <a:endParaRPr lang="en-IN" sz="1000" b="1">
            <a:solidFill>
              <a:schemeClr val="tx1">
                <a:lumMod val="50000"/>
                <a:lumOff val="50000"/>
              </a:schemeClr>
            </a:solidFill>
          </a:endParaRPr>
        </a:p>
      </xdr:txBody>
    </xdr:sp>
    <xdr:clientData/>
  </xdr:twoCellAnchor>
  <xdr:twoCellAnchor>
    <xdr:from>
      <xdr:col>14</xdr:col>
      <xdr:colOff>386556</xdr:colOff>
      <xdr:row>19</xdr:row>
      <xdr:rowOff>61436</xdr:rowOff>
    </xdr:from>
    <xdr:to>
      <xdr:col>14</xdr:col>
      <xdr:colOff>499905</xdr:colOff>
      <xdr:row>19</xdr:row>
      <xdr:rowOff>174783</xdr:rowOff>
    </xdr:to>
    <xdr:sp macro="" textlink="">
      <xdr:nvSpPr>
        <xdr:cNvPr id="245" name="Flowchart: Connector 244">
          <a:extLst>
            <a:ext uri="{FF2B5EF4-FFF2-40B4-BE49-F238E27FC236}">
              <a16:creationId xmlns:a16="http://schemas.microsoft.com/office/drawing/2014/main" id="{EE61BAE2-2A0B-31EB-3654-45CB569ECD37}"/>
            </a:ext>
          </a:extLst>
        </xdr:cNvPr>
        <xdr:cNvSpPr/>
      </xdr:nvSpPr>
      <xdr:spPr>
        <a:xfrm>
          <a:off x="8859837" y="3454717"/>
          <a:ext cx="113349" cy="113347"/>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486569</xdr:colOff>
      <xdr:row>9</xdr:row>
      <xdr:rowOff>67547</xdr:rowOff>
    </xdr:from>
    <xdr:to>
      <xdr:col>14</xdr:col>
      <xdr:colOff>591504</xdr:colOff>
      <xdr:row>9</xdr:row>
      <xdr:rowOff>176688</xdr:rowOff>
    </xdr:to>
    <xdr:sp macro="" textlink="">
      <xdr:nvSpPr>
        <xdr:cNvPr id="246" name="Flowchart: Connector 245">
          <a:extLst>
            <a:ext uri="{FF2B5EF4-FFF2-40B4-BE49-F238E27FC236}">
              <a16:creationId xmlns:a16="http://schemas.microsoft.com/office/drawing/2014/main" id="{2850C70F-580A-718F-D9FC-5F08166DF324}"/>
            </a:ext>
          </a:extLst>
        </xdr:cNvPr>
        <xdr:cNvSpPr/>
      </xdr:nvSpPr>
      <xdr:spPr>
        <a:xfrm>
          <a:off x="8959850" y="1674891"/>
          <a:ext cx="104935" cy="109141"/>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567452</xdr:colOff>
      <xdr:row>21</xdr:row>
      <xdr:rowOff>93107</xdr:rowOff>
    </xdr:from>
    <xdr:to>
      <xdr:col>10</xdr:col>
      <xdr:colOff>59532</xdr:colOff>
      <xdr:row>22</xdr:row>
      <xdr:rowOff>19844</xdr:rowOff>
    </xdr:to>
    <xdr:sp macro="" textlink="">
      <xdr:nvSpPr>
        <xdr:cNvPr id="247" name="Flowchart: Connector 246">
          <a:extLst>
            <a:ext uri="{FF2B5EF4-FFF2-40B4-BE49-F238E27FC236}">
              <a16:creationId xmlns:a16="http://schemas.microsoft.com/office/drawing/2014/main" id="{39FBA128-B449-4574-BE03-1AE89834943D}"/>
            </a:ext>
          </a:extLst>
        </xdr:cNvPr>
        <xdr:cNvSpPr/>
      </xdr:nvSpPr>
      <xdr:spPr>
        <a:xfrm>
          <a:off x="6014561" y="3843576"/>
          <a:ext cx="97315" cy="105331"/>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585390</xdr:colOff>
      <xdr:row>21</xdr:row>
      <xdr:rowOff>138905</xdr:rowOff>
    </xdr:from>
    <xdr:to>
      <xdr:col>5</xdr:col>
      <xdr:colOff>81281</xdr:colOff>
      <xdr:row>22</xdr:row>
      <xdr:rowOff>65642</xdr:rowOff>
    </xdr:to>
    <xdr:sp macro="" textlink="">
      <xdr:nvSpPr>
        <xdr:cNvPr id="248" name="Flowchart: Connector 247">
          <a:extLst>
            <a:ext uri="{FF2B5EF4-FFF2-40B4-BE49-F238E27FC236}">
              <a16:creationId xmlns:a16="http://schemas.microsoft.com/office/drawing/2014/main" id="{2610CA91-29D7-4625-8405-B4A444682C68}"/>
            </a:ext>
          </a:extLst>
        </xdr:cNvPr>
        <xdr:cNvSpPr/>
      </xdr:nvSpPr>
      <xdr:spPr>
        <a:xfrm>
          <a:off x="3006328" y="3889374"/>
          <a:ext cx="101125" cy="105331"/>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436563</xdr:colOff>
      <xdr:row>1</xdr:row>
      <xdr:rowOff>138906</xdr:rowOff>
    </xdr:from>
    <xdr:to>
      <xdr:col>14</xdr:col>
      <xdr:colOff>537688</xdr:colOff>
      <xdr:row>2</xdr:row>
      <xdr:rowOff>65643</xdr:rowOff>
    </xdr:to>
    <xdr:sp macro="" textlink="">
      <xdr:nvSpPr>
        <xdr:cNvPr id="249" name="Flowchart: Connector 248">
          <a:extLst>
            <a:ext uri="{FF2B5EF4-FFF2-40B4-BE49-F238E27FC236}">
              <a16:creationId xmlns:a16="http://schemas.microsoft.com/office/drawing/2014/main" id="{DD3867A0-2A52-42B2-8C89-771B415B844B}"/>
            </a:ext>
          </a:extLst>
        </xdr:cNvPr>
        <xdr:cNvSpPr/>
      </xdr:nvSpPr>
      <xdr:spPr>
        <a:xfrm>
          <a:off x="8909844" y="317500"/>
          <a:ext cx="101125" cy="105331"/>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529670</xdr:colOff>
      <xdr:row>7</xdr:row>
      <xdr:rowOff>88028</xdr:rowOff>
    </xdr:from>
    <xdr:to>
      <xdr:col>10</xdr:col>
      <xdr:colOff>31275</xdr:colOff>
      <xdr:row>8</xdr:row>
      <xdr:rowOff>8574</xdr:rowOff>
    </xdr:to>
    <xdr:sp macro="" textlink="">
      <xdr:nvSpPr>
        <xdr:cNvPr id="250" name="Flowchart: Connector 249">
          <a:extLst>
            <a:ext uri="{FF2B5EF4-FFF2-40B4-BE49-F238E27FC236}">
              <a16:creationId xmlns:a16="http://schemas.microsoft.com/office/drawing/2014/main" id="{F2F31295-C80A-477B-AC31-2E5D15A7A148}"/>
            </a:ext>
          </a:extLst>
        </xdr:cNvPr>
        <xdr:cNvSpPr/>
      </xdr:nvSpPr>
      <xdr:spPr>
        <a:xfrm>
          <a:off x="6016070" y="1354853"/>
          <a:ext cx="111205" cy="101521"/>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17541</xdr:colOff>
      <xdr:row>7</xdr:row>
      <xdr:rowOff>47705</xdr:rowOff>
    </xdr:from>
    <xdr:to>
      <xdr:col>5</xdr:col>
      <xdr:colOff>111046</xdr:colOff>
      <xdr:row>7</xdr:row>
      <xdr:rowOff>158751</xdr:rowOff>
    </xdr:to>
    <xdr:sp macro="" textlink="">
      <xdr:nvSpPr>
        <xdr:cNvPr id="251" name="Flowchart: Connector 250">
          <a:extLst>
            <a:ext uri="{FF2B5EF4-FFF2-40B4-BE49-F238E27FC236}">
              <a16:creationId xmlns:a16="http://schemas.microsoft.com/office/drawing/2014/main" id="{8AD830C8-6488-4699-BE4F-37EA9FE0C357}"/>
            </a:ext>
          </a:extLst>
        </xdr:cNvPr>
        <xdr:cNvSpPr/>
      </xdr:nvSpPr>
      <xdr:spPr>
        <a:xfrm>
          <a:off x="3043713" y="1297861"/>
          <a:ext cx="93505" cy="111046"/>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494189</xdr:colOff>
      <xdr:row>24</xdr:row>
      <xdr:rowOff>59531</xdr:rowOff>
    </xdr:from>
    <xdr:to>
      <xdr:col>0</xdr:col>
      <xdr:colOff>601029</xdr:colOff>
      <xdr:row>24</xdr:row>
      <xdr:rowOff>162957</xdr:rowOff>
    </xdr:to>
    <xdr:sp macro="" textlink="">
      <xdr:nvSpPr>
        <xdr:cNvPr id="252" name="Flowchart: Connector 251">
          <a:extLst>
            <a:ext uri="{FF2B5EF4-FFF2-40B4-BE49-F238E27FC236}">
              <a16:creationId xmlns:a16="http://schemas.microsoft.com/office/drawing/2014/main" id="{8675F548-4CD3-4812-BE40-75878A25BBF4}"/>
            </a:ext>
          </a:extLst>
        </xdr:cNvPr>
        <xdr:cNvSpPr/>
      </xdr:nvSpPr>
      <xdr:spPr>
        <a:xfrm>
          <a:off x="494189" y="4345781"/>
          <a:ext cx="106840" cy="103426"/>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518678</xdr:colOff>
      <xdr:row>13</xdr:row>
      <xdr:rowOff>167657</xdr:rowOff>
    </xdr:from>
    <xdr:to>
      <xdr:col>1</xdr:col>
      <xdr:colOff>20041</xdr:colOff>
      <xdr:row>14</xdr:row>
      <xdr:rowOff>85943</xdr:rowOff>
    </xdr:to>
    <xdr:sp macro="" textlink="">
      <xdr:nvSpPr>
        <xdr:cNvPr id="253" name="Flowchart: Connector 252">
          <a:extLst>
            <a:ext uri="{FF2B5EF4-FFF2-40B4-BE49-F238E27FC236}">
              <a16:creationId xmlns:a16="http://schemas.microsoft.com/office/drawing/2014/main" id="{D3510C5C-E19C-4313-AD81-5B8CB9BCC7AA}"/>
            </a:ext>
          </a:extLst>
        </xdr:cNvPr>
        <xdr:cNvSpPr/>
      </xdr:nvSpPr>
      <xdr:spPr>
        <a:xfrm>
          <a:off x="518678" y="2489376"/>
          <a:ext cx="106597" cy="96880"/>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512525</xdr:colOff>
      <xdr:row>15</xdr:row>
      <xdr:rowOff>145018</xdr:rowOff>
    </xdr:from>
    <xdr:to>
      <xdr:col>1</xdr:col>
      <xdr:colOff>10321</xdr:colOff>
      <xdr:row>16</xdr:row>
      <xdr:rowOff>64135</xdr:rowOff>
    </xdr:to>
    <xdr:sp macro="" textlink="">
      <xdr:nvSpPr>
        <xdr:cNvPr id="257" name="Flowchart: Connector 256">
          <a:extLst>
            <a:ext uri="{FF2B5EF4-FFF2-40B4-BE49-F238E27FC236}">
              <a16:creationId xmlns:a16="http://schemas.microsoft.com/office/drawing/2014/main" id="{9F360A84-409B-4215-8968-FAEE8A8B1352}"/>
            </a:ext>
          </a:extLst>
        </xdr:cNvPr>
        <xdr:cNvSpPr/>
      </xdr:nvSpPr>
      <xdr:spPr>
        <a:xfrm>
          <a:off x="512525" y="2823924"/>
          <a:ext cx="103030" cy="97711"/>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515699</xdr:colOff>
      <xdr:row>17</xdr:row>
      <xdr:rowOff>130651</xdr:rowOff>
    </xdr:from>
    <xdr:to>
      <xdr:col>1</xdr:col>
      <xdr:colOff>15400</xdr:colOff>
      <xdr:row>18</xdr:row>
      <xdr:rowOff>53578</xdr:rowOff>
    </xdr:to>
    <xdr:sp macro="" textlink="">
      <xdr:nvSpPr>
        <xdr:cNvPr id="258" name="Flowchart: Connector 257">
          <a:extLst>
            <a:ext uri="{FF2B5EF4-FFF2-40B4-BE49-F238E27FC236}">
              <a16:creationId xmlns:a16="http://schemas.microsoft.com/office/drawing/2014/main" id="{99CEB715-0EB9-4A14-AFEE-1BF89B66A372}"/>
            </a:ext>
          </a:extLst>
        </xdr:cNvPr>
        <xdr:cNvSpPr/>
      </xdr:nvSpPr>
      <xdr:spPr>
        <a:xfrm>
          <a:off x="515699" y="3166745"/>
          <a:ext cx="104935" cy="101521"/>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515937</xdr:colOff>
      <xdr:row>21</xdr:row>
      <xdr:rowOff>148828</xdr:rowOff>
    </xdr:from>
    <xdr:to>
      <xdr:col>1</xdr:col>
      <xdr:colOff>8018</xdr:colOff>
      <xdr:row>22</xdr:row>
      <xdr:rowOff>71755</xdr:rowOff>
    </xdr:to>
    <xdr:sp macro="" textlink="">
      <xdr:nvSpPr>
        <xdr:cNvPr id="259" name="Flowchart: Connector 258">
          <a:extLst>
            <a:ext uri="{FF2B5EF4-FFF2-40B4-BE49-F238E27FC236}">
              <a16:creationId xmlns:a16="http://schemas.microsoft.com/office/drawing/2014/main" id="{A7552617-D07E-4638-B472-92814F7A4EAE}"/>
            </a:ext>
          </a:extLst>
        </xdr:cNvPr>
        <xdr:cNvSpPr/>
      </xdr:nvSpPr>
      <xdr:spPr>
        <a:xfrm>
          <a:off x="515937" y="3899297"/>
          <a:ext cx="97315" cy="101521"/>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502861</xdr:colOff>
      <xdr:row>19</xdr:row>
      <xdr:rowOff>134707</xdr:rowOff>
    </xdr:from>
    <xdr:to>
      <xdr:col>1</xdr:col>
      <xdr:colOff>11672</xdr:colOff>
      <xdr:row>20</xdr:row>
      <xdr:rowOff>56428</xdr:rowOff>
    </xdr:to>
    <xdr:sp macro="" textlink="">
      <xdr:nvSpPr>
        <xdr:cNvPr id="260" name="Flowchart: Connector 259">
          <a:extLst>
            <a:ext uri="{FF2B5EF4-FFF2-40B4-BE49-F238E27FC236}">
              <a16:creationId xmlns:a16="http://schemas.microsoft.com/office/drawing/2014/main" id="{C0699D07-192C-418D-8627-D62FE33125B4}"/>
            </a:ext>
          </a:extLst>
        </xdr:cNvPr>
        <xdr:cNvSpPr/>
      </xdr:nvSpPr>
      <xdr:spPr>
        <a:xfrm>
          <a:off x="502861" y="3527988"/>
          <a:ext cx="114045" cy="100315"/>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553719</xdr:colOff>
      <xdr:row>9</xdr:row>
      <xdr:rowOff>128986</xdr:rowOff>
    </xdr:from>
    <xdr:to>
      <xdr:col>0</xdr:col>
      <xdr:colOff>555228</xdr:colOff>
      <xdr:row>12</xdr:row>
      <xdr:rowOff>162561</xdr:rowOff>
    </xdr:to>
    <xdr:cxnSp macro="">
      <xdr:nvCxnSpPr>
        <xdr:cNvPr id="262" name="Straight Connector 261">
          <a:extLst>
            <a:ext uri="{FF2B5EF4-FFF2-40B4-BE49-F238E27FC236}">
              <a16:creationId xmlns:a16="http://schemas.microsoft.com/office/drawing/2014/main" id="{FC423836-B9F2-0A06-A34C-F0B632950901}"/>
            </a:ext>
          </a:extLst>
        </xdr:cNvPr>
        <xdr:cNvCxnSpPr/>
      </xdr:nvCxnSpPr>
      <xdr:spPr>
        <a:xfrm flipH="1">
          <a:off x="553719" y="1736330"/>
          <a:ext cx="1509" cy="569356"/>
        </a:xfrm>
        <a:prstGeom prst="line">
          <a:avLst/>
        </a:prstGeom>
        <a:ln w="25400" cap="rnd">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321310</xdr:colOff>
      <xdr:row>0</xdr:row>
      <xdr:rowOff>132793</xdr:rowOff>
    </xdr:from>
    <xdr:to>
      <xdr:col>1</xdr:col>
      <xdr:colOff>472440</xdr:colOff>
      <xdr:row>5</xdr:row>
      <xdr:rowOff>611</xdr:rowOff>
    </xdr:to>
    <xdr:pic>
      <xdr:nvPicPr>
        <xdr:cNvPr id="274" name="Picture 273">
          <a:extLst>
            <a:ext uri="{FF2B5EF4-FFF2-40B4-BE49-F238E27FC236}">
              <a16:creationId xmlns:a16="http://schemas.microsoft.com/office/drawing/2014/main" id="{2EB832DA-547C-4B64-0EB1-5945B8F03DF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21310" y="132793"/>
          <a:ext cx="756364" cy="760787"/>
        </a:xfrm>
        <a:prstGeom prst="rect">
          <a:avLst/>
        </a:prstGeom>
      </xdr:spPr>
    </xdr:pic>
    <xdr:clientData/>
  </xdr:twoCellAnchor>
  <xdr:twoCellAnchor>
    <xdr:from>
      <xdr:col>1</xdr:col>
      <xdr:colOff>516332</xdr:colOff>
      <xdr:row>0</xdr:row>
      <xdr:rowOff>140809</xdr:rowOff>
    </xdr:from>
    <xdr:to>
      <xdr:col>4</xdr:col>
      <xdr:colOff>440768</xdr:colOff>
      <xdr:row>4</xdr:row>
      <xdr:rowOff>162560</xdr:rowOff>
    </xdr:to>
    <xdr:sp macro="" textlink="">
      <xdr:nvSpPr>
        <xdr:cNvPr id="275" name="TextBox 274">
          <a:extLst>
            <a:ext uri="{FF2B5EF4-FFF2-40B4-BE49-F238E27FC236}">
              <a16:creationId xmlns:a16="http://schemas.microsoft.com/office/drawing/2014/main" id="{1CB117EB-C3C3-CAE0-FF2B-BBABC8E57417}"/>
            </a:ext>
          </a:extLst>
        </xdr:cNvPr>
        <xdr:cNvSpPr txBox="1"/>
      </xdr:nvSpPr>
      <xdr:spPr>
        <a:xfrm>
          <a:off x="1121566" y="140809"/>
          <a:ext cx="1740140" cy="736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rgbClr val="E5B244"/>
              </a:solidFill>
              <a:latin typeface="Arial" panose="020B0604020202020204" pitchFamily="34" charset="0"/>
              <a:cs typeface="Arial" panose="020B0604020202020204" pitchFamily="34" charset="0"/>
            </a:rPr>
            <a:t>HR</a:t>
          </a:r>
          <a:endParaRPr lang="en-IN" sz="1600" b="1">
            <a:solidFill>
              <a:srgbClr val="E5B244"/>
            </a:solidFill>
            <a:latin typeface="Arial" panose="020B0604020202020204" pitchFamily="34" charset="0"/>
            <a:cs typeface="Arial" panose="020B0604020202020204" pitchFamily="34" charset="0"/>
          </a:endParaRPr>
        </a:p>
        <a:p>
          <a:pPr algn="l"/>
          <a:r>
            <a:rPr lang="en-IN" sz="1400" b="1">
              <a:solidFill>
                <a:srgbClr val="E5B244"/>
              </a:solidFill>
              <a:latin typeface="Aptos Narrow" panose="020B0004020202020204" pitchFamily="34" charset="0"/>
              <a:cs typeface="Arial" panose="020B0604020202020204" pitchFamily="34" charset="0"/>
            </a:rPr>
            <a:t>DASHBOARD</a:t>
          </a:r>
        </a:p>
        <a:p>
          <a:pPr algn="l"/>
          <a:endParaRPr lang="en-IN" sz="1800" b="1">
            <a:solidFill>
              <a:srgbClr val="E5B244"/>
            </a:solidFill>
            <a:latin typeface="Arial" panose="020B0604020202020204" pitchFamily="34" charset="0"/>
            <a:cs typeface="Arial" panose="020B0604020202020204" pitchFamily="34" charset="0"/>
          </a:endParaRPr>
        </a:p>
        <a:p>
          <a:pPr algn="l"/>
          <a:endParaRPr lang="en-IN" sz="1800" b="1">
            <a:solidFill>
              <a:srgbClr val="E5B244"/>
            </a:solidFill>
            <a:latin typeface="Arial" panose="020B0604020202020204" pitchFamily="34" charset="0"/>
            <a:cs typeface="Arial" panose="020B0604020202020204" pitchFamily="34" charset="0"/>
          </a:endParaRPr>
        </a:p>
      </xdr:txBody>
    </xdr:sp>
    <xdr:clientData/>
  </xdr:twoCellAnchor>
  <xdr:twoCellAnchor>
    <xdr:from>
      <xdr:col>1</xdr:col>
      <xdr:colOff>487042</xdr:colOff>
      <xdr:row>4</xdr:row>
      <xdr:rowOff>30956</xdr:rowOff>
    </xdr:from>
    <xdr:to>
      <xdr:col>5</xdr:col>
      <xdr:colOff>573802</xdr:colOff>
      <xdr:row>5</xdr:row>
      <xdr:rowOff>91995</xdr:rowOff>
    </xdr:to>
    <xdr:sp macro="" textlink="">
      <xdr:nvSpPr>
        <xdr:cNvPr id="278" name="TextBox 277">
          <a:extLst>
            <a:ext uri="{FF2B5EF4-FFF2-40B4-BE49-F238E27FC236}">
              <a16:creationId xmlns:a16="http://schemas.microsoft.com/office/drawing/2014/main" id="{B995B785-7731-EE71-8909-D90C36D6DFBB}"/>
            </a:ext>
          </a:extLst>
        </xdr:cNvPr>
        <xdr:cNvSpPr txBox="1"/>
      </xdr:nvSpPr>
      <xdr:spPr>
        <a:xfrm>
          <a:off x="1096642" y="754856"/>
          <a:ext cx="2525160" cy="242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b="1">
              <a:solidFill>
                <a:schemeClr val="tx1">
                  <a:lumMod val="50000"/>
                  <a:lumOff val="50000"/>
                </a:schemeClr>
              </a:solidFill>
            </a:rPr>
            <a:t>Analyze</a:t>
          </a:r>
          <a:r>
            <a:rPr lang="en-IN" sz="1050" b="1" baseline="0">
              <a:solidFill>
                <a:schemeClr val="tx1">
                  <a:lumMod val="50000"/>
                  <a:lumOff val="50000"/>
                </a:schemeClr>
              </a:solidFill>
            </a:rPr>
            <a:t> and monitor the HR department</a:t>
          </a:r>
          <a:endParaRPr lang="en-IN" sz="1050" b="1">
            <a:solidFill>
              <a:schemeClr val="tx1">
                <a:lumMod val="50000"/>
                <a:lumOff val="50000"/>
              </a:schemeClr>
            </a:solidFill>
          </a:endParaRPr>
        </a:p>
      </xdr:txBody>
    </xdr:sp>
    <xdr:clientData/>
  </xdr:twoCellAnchor>
  <xdr:twoCellAnchor editAs="oneCell">
    <xdr:from>
      <xdr:col>5</xdr:col>
      <xdr:colOff>434419</xdr:colOff>
      <xdr:row>0</xdr:row>
      <xdr:rowOff>177721</xdr:rowOff>
    </xdr:from>
    <xdr:to>
      <xdr:col>8</xdr:col>
      <xdr:colOff>437991</xdr:colOff>
      <xdr:row>4</xdr:row>
      <xdr:rowOff>123825</xdr:rowOff>
    </xdr:to>
    <mc:AlternateContent xmlns:mc="http://schemas.openxmlformats.org/markup-compatibility/2006">
      <mc:Choice xmlns:a14="http://schemas.microsoft.com/office/drawing/2010/main" Requires="a14">
        <xdr:graphicFrame macro="">
          <xdr:nvGraphicFramePr>
            <xdr:cNvPr id="279" name="Gender">
              <a:extLst>
                <a:ext uri="{FF2B5EF4-FFF2-40B4-BE49-F238E27FC236}">
                  <a16:creationId xmlns:a16="http://schemas.microsoft.com/office/drawing/2014/main" id="{A46D31A1-D407-4367-9809-B4EBCA4BB7D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499836" y="173911"/>
              <a:ext cx="1840536" cy="677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515777</xdr:colOff>
      <xdr:row>0</xdr:row>
      <xdr:rowOff>91441</xdr:rowOff>
    </xdr:from>
    <xdr:to>
      <xdr:col>14</xdr:col>
      <xdr:colOff>38100</xdr:colOff>
      <xdr:row>5</xdr:row>
      <xdr:rowOff>160021</xdr:rowOff>
    </xdr:to>
    <mc:AlternateContent xmlns:mc="http://schemas.openxmlformats.org/markup-compatibility/2006">
      <mc:Choice xmlns:a14="http://schemas.microsoft.com/office/drawing/2010/main" Requires="a14">
        <xdr:graphicFrame macro="">
          <xdr:nvGraphicFramePr>
            <xdr:cNvPr id="280" name="Department">
              <a:extLst>
                <a:ext uri="{FF2B5EF4-FFF2-40B4-BE49-F238E27FC236}">
                  <a16:creationId xmlns:a16="http://schemas.microsoft.com/office/drawing/2014/main" id="{84E00842-CBE3-4B55-A9A5-D2414FB5515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022860" y="95251"/>
              <a:ext cx="2587740" cy="973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596661</xdr:colOff>
      <xdr:row>7</xdr:row>
      <xdr:rowOff>77390</xdr:rowOff>
    </xdr:from>
    <xdr:to>
      <xdr:col>26</xdr:col>
      <xdr:colOff>142875</xdr:colOff>
      <xdr:row>9</xdr:row>
      <xdr:rowOff>101044</xdr:rowOff>
    </xdr:to>
    <xdr:sp macro="" textlink="">
      <xdr:nvSpPr>
        <xdr:cNvPr id="281" name="TextBox 280">
          <a:extLst>
            <a:ext uri="{FF2B5EF4-FFF2-40B4-BE49-F238E27FC236}">
              <a16:creationId xmlns:a16="http://schemas.microsoft.com/office/drawing/2014/main" id="{2226E7BF-1B79-9AB4-0E13-910E22057EBE}"/>
            </a:ext>
          </a:extLst>
        </xdr:cNvPr>
        <xdr:cNvSpPr txBox="1"/>
      </xdr:nvSpPr>
      <xdr:spPr>
        <a:xfrm>
          <a:off x="14007861" y="1344215"/>
          <a:ext cx="1984614" cy="385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IN" sz="1400" b="0">
            <a:solidFill>
              <a:schemeClr val="bg1"/>
            </a:solidFill>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n Badaya" refreshedDate="45854.927764120373" createdVersion="8" refreshedVersion="8" minRefreshableVersion="3" recordCount="50" xr:uid="{DDFD90AB-5C3F-46FF-A68B-FBF94D4CF9A9}">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ount="49">
        <s v="Lori Nguyen"/>
        <s v="Gary Garcia"/>
        <s v="Jeremy Nguyen"/>
        <s v="Kimberly Jones"/>
        <s v="Anthony Gates"/>
        <s v="Courtney Foster"/>
        <s v="Catherine Hall"/>
        <s v="Deanna Ball"/>
        <s v="Candace Nelson"/>
        <s v="Mandy Davis"/>
        <s v="Matthew Powell"/>
        <s v="Bruce Nelson"/>
        <s v="Dawn Cole"/>
        <s v="Tanner Morse"/>
        <s v="Jose Griffin"/>
        <s v="Daniel Hawkins"/>
        <s v="Elaine Mcclain"/>
        <s v="Thomas Kramer"/>
        <s v="Kevin Whitaker"/>
        <s v="Dustin Carter"/>
        <s v="Nicole Williamson"/>
        <s v="Matthew Knight"/>
        <s v="Donna Jones"/>
        <s v="Carolyn Bullock"/>
        <s v="Wendy Gomez"/>
        <s v="Michael Thomas"/>
        <s v="Kevin Bell"/>
        <s v="Richard Landry"/>
        <s v="George Hurley"/>
        <s v="Mark Lopez"/>
        <s v="Robert Williams"/>
        <s v="Mary Schmidt"/>
        <s v="Mary Martinez"/>
        <s v="Paul Hall"/>
        <s v="Samantha Foster"/>
        <s v="Timothy Aguilar"/>
        <s v="Charles Andrews"/>
        <s v="Veronica Nelson"/>
        <s v="Chris Sanchez"/>
        <s v="Cassie Galvan"/>
        <s v="Jessica Jones"/>
        <s v="Emily Walker"/>
        <s v="Vickie Lewis"/>
        <s v="Alexis Clark"/>
        <s v="Robert Davis"/>
        <s v="Daniel Brown MD"/>
        <s v="Anna Payne"/>
        <s v="Rhonda Pena"/>
        <s v="Nicole Gonzalez"/>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20927741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x v="0"/>
    <x v="0"/>
    <n v="25"/>
    <x v="0"/>
    <x v="0"/>
    <x v="0"/>
    <x v="0"/>
    <s v="Luis Reynolds"/>
    <s v="2019-03-15"/>
    <x v="0"/>
    <x v="0"/>
    <n v="53700"/>
    <s v="C"/>
    <n v="1463"/>
    <s v="Health"/>
    <n v="1"/>
    <n v="1"/>
    <s v="Leadership Training"/>
    <x v="0"/>
    <s v="Certified Professional"/>
  </r>
  <r>
    <n v="9116"/>
    <x v="1"/>
    <x v="1"/>
    <n v="27"/>
    <x v="1"/>
    <x v="1"/>
    <x v="1"/>
    <x v="1"/>
    <s v="Ashley Simmons MD"/>
    <s v="2022-12-20"/>
    <x v="0"/>
    <x v="1"/>
    <n v="91091"/>
    <s v="B"/>
    <n v="1024"/>
    <s v="None"/>
    <n v="19"/>
    <n v="4"/>
    <s v="Excel Workshop"/>
    <x v="0"/>
    <s v="Certified Professional"/>
  </r>
  <r>
    <n v="5120"/>
    <x v="2"/>
    <x v="1"/>
    <n v="34"/>
    <x v="1"/>
    <x v="2"/>
    <x v="2"/>
    <x v="2"/>
    <s v="Cassandra Duncan"/>
    <s v="2022-08-10"/>
    <x v="0"/>
    <x v="2"/>
    <n v="57538"/>
    <s v="D"/>
    <n v="1674"/>
    <s v="None"/>
    <n v="8"/>
    <n v="1"/>
    <s v="None"/>
    <x v="1"/>
    <s v="Advanced Training"/>
  </r>
  <r>
    <n v="8071"/>
    <x v="3"/>
    <x v="0"/>
    <n v="41"/>
    <x v="2"/>
    <x v="2"/>
    <x v="0"/>
    <x v="3"/>
    <s v="Janet Harris"/>
    <s v="2024-09-03"/>
    <x v="1"/>
    <x v="0"/>
    <n v="62993"/>
    <s v="A"/>
    <n v="2695"/>
    <s v="Health + Dental"/>
    <n v="0"/>
    <n v="2"/>
    <s v="None"/>
    <x v="2"/>
    <s v="None"/>
  </r>
  <r>
    <n v="9351"/>
    <x v="4"/>
    <x v="1"/>
    <n v="56"/>
    <x v="3"/>
    <x v="0"/>
    <x v="0"/>
    <x v="2"/>
    <s v="Mr. Frank Clay"/>
    <s v="2019-03-14"/>
    <x v="1"/>
    <x v="1"/>
    <n v="45773"/>
    <s v="A"/>
    <n v="8776"/>
    <s v="Health"/>
    <n v="16"/>
    <n v="4"/>
    <s v="Leadership Training"/>
    <x v="2"/>
    <s v="None"/>
  </r>
  <r>
    <n v="2873"/>
    <x v="5"/>
    <x v="0"/>
    <n v="28"/>
    <x v="1"/>
    <x v="2"/>
    <x v="3"/>
    <x v="2"/>
    <s v="Dorothy Price"/>
    <s v="2017-01-23"/>
    <x v="0"/>
    <x v="1"/>
    <n v="96249"/>
    <s v="C"/>
    <n v="4826"/>
    <s v="Health + Dental"/>
    <n v="7"/>
    <n v="3"/>
    <s v="Leadership Training"/>
    <x v="3"/>
    <s v="Certified Professional"/>
  </r>
  <r>
    <n v="3540"/>
    <x v="6"/>
    <x v="0"/>
    <n v="20"/>
    <x v="0"/>
    <x v="1"/>
    <x v="2"/>
    <x v="2"/>
    <s v="Michele Sexton"/>
    <s v="2024-08-17"/>
    <x v="0"/>
    <x v="2"/>
    <n v="61596"/>
    <s v="C"/>
    <n v="8818"/>
    <s v="Health + Dental"/>
    <n v="4"/>
    <n v="2"/>
    <s v="Leadership Training"/>
    <x v="1"/>
    <s v="None"/>
  </r>
  <r>
    <n v="3653"/>
    <x v="7"/>
    <x v="0"/>
    <n v="58"/>
    <x v="3"/>
    <x v="3"/>
    <x v="1"/>
    <x v="4"/>
    <s v="Richard Schmidt"/>
    <s v="2014-12-09"/>
    <x v="0"/>
    <x v="2"/>
    <n v="97869"/>
    <s v="A"/>
    <n v="1966"/>
    <s v="Health"/>
    <n v="10"/>
    <n v="1"/>
    <s v="Leadership Training"/>
    <x v="0"/>
    <s v="Certified Professional"/>
  </r>
  <r>
    <n v="5587"/>
    <x v="8"/>
    <x v="0"/>
    <n v="44"/>
    <x v="2"/>
    <x v="3"/>
    <x v="2"/>
    <x v="2"/>
    <s v="Teresa Pearson"/>
    <s v="2021-06-28"/>
    <x v="0"/>
    <x v="0"/>
    <n v="81235"/>
    <s v="A"/>
    <n v="6553"/>
    <s v="None"/>
    <n v="16"/>
    <n v="2"/>
    <s v="None"/>
    <x v="1"/>
    <s v="Certified Professional"/>
  </r>
  <r>
    <n v="9554"/>
    <x v="9"/>
    <x v="0"/>
    <n v="29"/>
    <x v="1"/>
    <x v="1"/>
    <x v="2"/>
    <x v="3"/>
    <s v="Laura Hart"/>
    <s v="2018-05-20"/>
    <x v="0"/>
    <x v="1"/>
    <n v="87852"/>
    <s v="A"/>
    <n v="4980"/>
    <s v="Health + Dental"/>
    <n v="19"/>
    <n v="3"/>
    <s v="None"/>
    <x v="2"/>
    <s v="Certified Professional"/>
  </r>
  <r>
    <n v="6213"/>
    <x v="10"/>
    <x v="1"/>
    <n v="23"/>
    <x v="0"/>
    <x v="3"/>
    <x v="0"/>
    <x v="2"/>
    <s v="Andrea May"/>
    <s v="2017-02-13"/>
    <x v="1"/>
    <x v="1"/>
    <n v="59359"/>
    <s v="A"/>
    <n v="9449"/>
    <s v="Health + Dental"/>
    <n v="20"/>
    <n v="3"/>
    <s v="None"/>
    <x v="1"/>
    <s v="None"/>
  </r>
  <r>
    <n v="9105"/>
    <x v="11"/>
    <x v="1"/>
    <n v="30"/>
    <x v="1"/>
    <x v="0"/>
    <x v="1"/>
    <x v="0"/>
    <s v="Casey Martin"/>
    <s v="2024-05-05"/>
    <x v="1"/>
    <x v="2"/>
    <n v="81225"/>
    <s v="D"/>
    <n v="6202"/>
    <s v="Health + Dental"/>
    <n v="2"/>
    <n v="2"/>
    <s v="Excel Workshop"/>
    <x v="4"/>
    <s v="Certified Professional"/>
  </r>
  <r>
    <n v="9508"/>
    <x v="12"/>
    <x v="0"/>
    <n v="49"/>
    <x v="4"/>
    <x v="1"/>
    <x v="0"/>
    <x v="0"/>
    <s v="Amber Allen"/>
    <s v="2022-04-19"/>
    <x v="1"/>
    <x v="0"/>
    <n v="32788"/>
    <s v="D"/>
    <n v="4396"/>
    <s v="Health"/>
    <n v="13"/>
    <n v="5"/>
    <s v="None"/>
    <x v="3"/>
    <s v="Advanced Training"/>
  </r>
  <r>
    <n v="2436"/>
    <x v="13"/>
    <x v="1"/>
    <n v="60"/>
    <x v="3"/>
    <x v="4"/>
    <x v="0"/>
    <x v="3"/>
    <s v="Adam Johnson"/>
    <s v="2015-11-16"/>
    <x v="1"/>
    <x v="2"/>
    <n v="70452"/>
    <s v="D"/>
    <n v="9911"/>
    <s v="None"/>
    <n v="2"/>
    <n v="1"/>
    <s v="None"/>
    <x v="3"/>
    <s v="Certified Professional"/>
  </r>
  <r>
    <n v="4441"/>
    <x v="14"/>
    <x v="1"/>
    <n v="46"/>
    <x v="4"/>
    <x v="1"/>
    <x v="3"/>
    <x v="0"/>
    <s v="Nicole Dominguez"/>
    <s v="2023-09-09"/>
    <x v="0"/>
    <x v="1"/>
    <n v="33045"/>
    <s v="B"/>
    <n v="1456"/>
    <s v="None"/>
    <n v="16"/>
    <n v="3"/>
    <s v="Excel Workshop"/>
    <x v="3"/>
    <s v="None"/>
  </r>
  <r>
    <n v="5827"/>
    <x v="15"/>
    <x v="1"/>
    <n v="57"/>
    <x v="3"/>
    <x v="2"/>
    <x v="3"/>
    <x v="1"/>
    <s v="Andrew Best"/>
    <s v="2017-12-12"/>
    <x v="2"/>
    <x v="2"/>
    <n v="96429"/>
    <s v="C"/>
    <n v="4740"/>
    <s v="None"/>
    <n v="8"/>
    <n v="1"/>
    <s v="Excel Workshop"/>
    <x v="2"/>
    <s v="None"/>
  </r>
  <r>
    <n v="5184"/>
    <x v="16"/>
    <x v="0"/>
    <n v="24"/>
    <x v="0"/>
    <x v="1"/>
    <x v="2"/>
    <x v="2"/>
    <s v="Gabrielle Rodriguez"/>
    <s v="2017-03-10"/>
    <x v="2"/>
    <x v="2"/>
    <n v="33183"/>
    <s v="A"/>
    <n v="8114"/>
    <s v="None"/>
    <n v="4"/>
    <n v="2"/>
    <s v="Excel Workshop"/>
    <x v="4"/>
    <s v="Advanced Training"/>
  </r>
  <r>
    <n v="5874"/>
    <x v="3"/>
    <x v="0"/>
    <n v="35"/>
    <x v="1"/>
    <x v="4"/>
    <x v="3"/>
    <x v="0"/>
    <s v="Allison Harvey"/>
    <s v="2019-03-04"/>
    <x v="2"/>
    <x v="0"/>
    <n v="75065"/>
    <s v="C"/>
    <n v="7123"/>
    <s v="None"/>
    <n v="20"/>
    <n v="2"/>
    <s v="None"/>
    <x v="0"/>
    <s v="Advanced Training"/>
  </r>
  <r>
    <n v="9834"/>
    <x v="17"/>
    <x v="1"/>
    <n v="41"/>
    <x v="2"/>
    <x v="1"/>
    <x v="1"/>
    <x v="4"/>
    <s v="Tristan Mejia"/>
    <s v="2022-11-20"/>
    <x v="0"/>
    <x v="2"/>
    <n v="32877"/>
    <s v="C"/>
    <n v="6432"/>
    <s v="Health"/>
    <n v="11"/>
    <n v="1"/>
    <s v="None"/>
    <x v="0"/>
    <s v="None"/>
  </r>
  <r>
    <n v="5096"/>
    <x v="18"/>
    <x v="1"/>
    <n v="36"/>
    <x v="2"/>
    <x v="1"/>
    <x v="4"/>
    <x v="3"/>
    <s v="Mary Welch"/>
    <s v="2021-03-02"/>
    <x v="0"/>
    <x v="1"/>
    <n v="46811"/>
    <s v="D"/>
    <n v="1567"/>
    <s v="None"/>
    <n v="7"/>
    <n v="3"/>
    <s v="Excel Workshop"/>
    <x v="0"/>
    <s v="Advanced Training"/>
  </r>
  <r>
    <n v="2263"/>
    <x v="19"/>
    <x v="1"/>
    <n v="31"/>
    <x v="1"/>
    <x v="3"/>
    <x v="2"/>
    <x v="1"/>
    <s v="Douglas Miles"/>
    <s v="2021-08-01"/>
    <x v="1"/>
    <x v="1"/>
    <n v="87538"/>
    <s v="C"/>
    <n v="3588"/>
    <s v="Health + Dental"/>
    <n v="11"/>
    <n v="5"/>
    <s v="Excel Workshop"/>
    <x v="2"/>
    <s v="None"/>
  </r>
  <r>
    <n v="6505"/>
    <x v="20"/>
    <x v="0"/>
    <n v="28"/>
    <x v="1"/>
    <x v="0"/>
    <x v="1"/>
    <x v="4"/>
    <s v="Jessica Fleming"/>
    <s v="2015-08-14"/>
    <x v="0"/>
    <x v="1"/>
    <n v="73002"/>
    <s v="C"/>
    <n v="6296"/>
    <s v="Health"/>
    <n v="2"/>
    <n v="5"/>
    <s v="Excel Workshop"/>
    <x v="1"/>
    <s v="Certified Professional"/>
  </r>
  <r>
    <n v="8626"/>
    <x v="21"/>
    <x v="1"/>
    <n v="37"/>
    <x v="2"/>
    <x v="3"/>
    <x v="1"/>
    <x v="3"/>
    <s v="Christine Lee"/>
    <s v="2015-10-21"/>
    <x v="2"/>
    <x v="2"/>
    <n v="41653"/>
    <s v="D"/>
    <n v="9236"/>
    <s v="None"/>
    <n v="13"/>
    <n v="1"/>
    <s v="Excel Workshop"/>
    <x v="0"/>
    <s v="None"/>
  </r>
  <r>
    <n v="5979"/>
    <x v="22"/>
    <x v="0"/>
    <n v="31"/>
    <x v="1"/>
    <x v="0"/>
    <x v="0"/>
    <x v="2"/>
    <s v="Mario Smith DVM"/>
    <s v="2015-03-14"/>
    <x v="1"/>
    <x v="1"/>
    <n v="67582"/>
    <s v="A"/>
    <n v="1375"/>
    <s v="Health"/>
    <n v="20"/>
    <n v="3"/>
    <s v="Excel Workshop"/>
    <x v="1"/>
    <s v="None"/>
  </r>
  <r>
    <n v="3104"/>
    <x v="23"/>
    <x v="0"/>
    <n v="23"/>
    <x v="0"/>
    <x v="3"/>
    <x v="1"/>
    <x v="1"/>
    <s v="Joseph Francis"/>
    <s v="2024-05-22"/>
    <x v="2"/>
    <x v="1"/>
    <n v="37351"/>
    <s v="D"/>
    <n v="7858"/>
    <s v="Health + Dental"/>
    <n v="18"/>
    <n v="2"/>
    <s v="Leadership Training"/>
    <x v="1"/>
    <s v="Advanced Training"/>
  </r>
  <r>
    <n v="8967"/>
    <x v="24"/>
    <x v="0"/>
    <n v="48"/>
    <x v="4"/>
    <x v="4"/>
    <x v="2"/>
    <x v="0"/>
    <s v="Sarah Young"/>
    <s v="2017-03-19"/>
    <x v="0"/>
    <x v="1"/>
    <n v="36721"/>
    <s v="B"/>
    <n v="8820"/>
    <s v="Health + Dental"/>
    <n v="0"/>
    <n v="2"/>
    <s v="Excel Workshop"/>
    <x v="1"/>
    <s v="Certified Professional"/>
  </r>
  <r>
    <n v="5087"/>
    <x v="25"/>
    <x v="1"/>
    <n v="28"/>
    <x v="1"/>
    <x v="2"/>
    <x v="4"/>
    <x v="0"/>
    <s v="Aaron Hart"/>
    <s v="2021-09-15"/>
    <x v="1"/>
    <x v="2"/>
    <n v="46326"/>
    <s v="B"/>
    <n v="9189"/>
    <s v="Health + Dental"/>
    <n v="8"/>
    <n v="4"/>
    <s v="Leadership Training"/>
    <x v="3"/>
    <s v="Advanced Training"/>
  </r>
  <r>
    <n v="3358"/>
    <x v="26"/>
    <x v="1"/>
    <n v="30"/>
    <x v="1"/>
    <x v="1"/>
    <x v="3"/>
    <x v="1"/>
    <s v="Brian Boyd"/>
    <s v="2022-05-09"/>
    <x v="0"/>
    <x v="0"/>
    <n v="59007"/>
    <s v="C"/>
    <n v="3380"/>
    <s v="Health"/>
    <n v="17"/>
    <n v="3"/>
    <s v="None"/>
    <x v="4"/>
    <s v="Certified Professional"/>
  </r>
  <r>
    <n v="8256"/>
    <x v="27"/>
    <x v="1"/>
    <n v="46"/>
    <x v="4"/>
    <x v="3"/>
    <x v="0"/>
    <x v="3"/>
    <s v="Steven Krueger"/>
    <s v="2017-06-22"/>
    <x v="0"/>
    <x v="1"/>
    <n v="52020"/>
    <s v="B"/>
    <n v="9585"/>
    <s v="Health + Dental"/>
    <n v="0"/>
    <n v="4"/>
    <s v="Excel Workshop"/>
    <x v="4"/>
    <s v="None"/>
  </r>
  <r>
    <n v="5763"/>
    <x v="28"/>
    <x v="1"/>
    <n v="44"/>
    <x v="2"/>
    <x v="1"/>
    <x v="2"/>
    <x v="1"/>
    <s v="Debra Williams"/>
    <s v="2020-11-28"/>
    <x v="2"/>
    <x v="1"/>
    <n v="98961"/>
    <s v="D"/>
    <n v="2688"/>
    <s v="Health"/>
    <n v="2"/>
    <n v="5"/>
    <s v="Excel Workshop"/>
    <x v="4"/>
    <s v="Certified Professional"/>
  </r>
  <r>
    <n v="6838"/>
    <x v="29"/>
    <x v="1"/>
    <n v="45"/>
    <x v="2"/>
    <x v="2"/>
    <x v="3"/>
    <x v="2"/>
    <s v="Karen Mitchell"/>
    <s v="2015-08-30"/>
    <x v="2"/>
    <x v="1"/>
    <n v="81943"/>
    <s v="C"/>
    <n v="2255"/>
    <s v="Health"/>
    <n v="18"/>
    <n v="2"/>
    <s v="None"/>
    <x v="2"/>
    <s v="Certified Professional"/>
  </r>
  <r>
    <n v="9544"/>
    <x v="30"/>
    <x v="1"/>
    <n v="52"/>
    <x v="4"/>
    <x v="4"/>
    <x v="2"/>
    <x v="1"/>
    <s v="Joseph Sanders"/>
    <s v="2018-10-27"/>
    <x v="2"/>
    <x v="1"/>
    <n v="47627"/>
    <s v="C"/>
    <n v="1221"/>
    <s v="None"/>
    <n v="4"/>
    <n v="3"/>
    <s v="None"/>
    <x v="1"/>
    <s v="None"/>
  </r>
  <r>
    <n v="8012"/>
    <x v="31"/>
    <x v="0"/>
    <n v="52"/>
    <x v="4"/>
    <x v="0"/>
    <x v="0"/>
    <x v="4"/>
    <s v="Shelly George"/>
    <s v="2018-08-26"/>
    <x v="2"/>
    <x v="1"/>
    <n v="56162"/>
    <s v="D"/>
    <n v="6560"/>
    <s v="Health + Dental"/>
    <n v="9"/>
    <n v="4"/>
    <s v="Excel Workshop"/>
    <x v="3"/>
    <s v="None"/>
  </r>
  <r>
    <n v="9374"/>
    <x v="32"/>
    <x v="0"/>
    <n v="42"/>
    <x v="2"/>
    <x v="1"/>
    <x v="2"/>
    <x v="2"/>
    <s v="Nicole Houston"/>
    <s v="2023-07-24"/>
    <x v="1"/>
    <x v="2"/>
    <n v="95734"/>
    <s v="C"/>
    <n v="4854"/>
    <s v="Health"/>
    <n v="13"/>
    <n v="2"/>
    <s v="Leadership Training"/>
    <x v="0"/>
    <s v="Certified Professional"/>
  </r>
  <r>
    <n v="3487"/>
    <x v="33"/>
    <x v="1"/>
    <n v="58"/>
    <x v="3"/>
    <x v="1"/>
    <x v="1"/>
    <x v="3"/>
    <s v="Kristin Shaffer"/>
    <s v="2018-07-09"/>
    <x v="1"/>
    <x v="2"/>
    <n v="74789"/>
    <s v="C"/>
    <n v="8101"/>
    <s v="Health + Dental"/>
    <n v="14"/>
    <n v="5"/>
    <s v="Excel Workshop"/>
    <x v="2"/>
    <s v="None"/>
  </r>
  <r>
    <n v="8445"/>
    <x v="34"/>
    <x v="0"/>
    <n v="24"/>
    <x v="0"/>
    <x v="4"/>
    <x v="0"/>
    <x v="3"/>
    <s v="Joel Aguilar"/>
    <s v="2016-12-21"/>
    <x v="0"/>
    <x v="2"/>
    <n v="30137"/>
    <s v="B"/>
    <n v="4031"/>
    <s v="None"/>
    <n v="5"/>
    <n v="3"/>
    <s v="None"/>
    <x v="1"/>
    <s v="Certified Professional"/>
  </r>
  <r>
    <n v="1550"/>
    <x v="35"/>
    <x v="1"/>
    <n v="21"/>
    <x v="0"/>
    <x v="1"/>
    <x v="0"/>
    <x v="0"/>
    <s v="Michael Wade"/>
    <s v="2019-06-27"/>
    <x v="0"/>
    <x v="2"/>
    <n v="95510"/>
    <s v="C"/>
    <n v="6811"/>
    <s v="Health"/>
    <n v="18"/>
    <n v="4"/>
    <s v="Excel Workshop"/>
    <x v="4"/>
    <s v="Certified Professional"/>
  </r>
  <r>
    <n v="9968"/>
    <x v="36"/>
    <x v="1"/>
    <n v="58"/>
    <x v="3"/>
    <x v="1"/>
    <x v="3"/>
    <x v="0"/>
    <s v="Jessica Walsh"/>
    <s v="2021-08-27"/>
    <x v="1"/>
    <x v="0"/>
    <n v="80325"/>
    <s v="B"/>
    <n v="6230"/>
    <s v="Health"/>
    <n v="5"/>
    <n v="4"/>
    <s v="None"/>
    <x v="2"/>
    <s v="Advanced Training"/>
  </r>
  <r>
    <n v="8029"/>
    <x v="37"/>
    <x v="0"/>
    <n v="57"/>
    <x v="3"/>
    <x v="3"/>
    <x v="4"/>
    <x v="4"/>
    <s v="Kelly Mack"/>
    <s v="2017-05-28"/>
    <x v="2"/>
    <x v="1"/>
    <n v="34109"/>
    <s v="B"/>
    <n v="9232"/>
    <s v="Health"/>
    <n v="13"/>
    <n v="3"/>
    <s v="Leadership Training"/>
    <x v="0"/>
    <s v="Certified Professional"/>
  </r>
  <r>
    <n v="8847"/>
    <x v="38"/>
    <x v="1"/>
    <n v="41"/>
    <x v="2"/>
    <x v="3"/>
    <x v="3"/>
    <x v="0"/>
    <s v="John Conley"/>
    <s v="2022-01-30"/>
    <x v="2"/>
    <x v="2"/>
    <n v="73330"/>
    <s v="C"/>
    <n v="2276"/>
    <s v="Health + Dental"/>
    <n v="5"/>
    <n v="1"/>
    <s v="None"/>
    <x v="1"/>
    <s v="Advanced Training"/>
  </r>
  <r>
    <n v="1955"/>
    <x v="39"/>
    <x v="0"/>
    <n v="58"/>
    <x v="3"/>
    <x v="2"/>
    <x v="2"/>
    <x v="1"/>
    <s v="Aaron Baker"/>
    <s v="2017-04-20"/>
    <x v="1"/>
    <x v="2"/>
    <n v="46567"/>
    <s v="A"/>
    <n v="2825"/>
    <s v="Health"/>
    <n v="15"/>
    <n v="3"/>
    <s v="None"/>
    <x v="4"/>
    <s v="Advanced Training"/>
  </r>
  <r>
    <n v="4522"/>
    <x v="40"/>
    <x v="0"/>
    <n v="36"/>
    <x v="2"/>
    <x v="0"/>
    <x v="4"/>
    <x v="0"/>
    <s v="Christopher Bass"/>
    <s v="2019-07-22"/>
    <x v="1"/>
    <x v="1"/>
    <n v="39795"/>
    <s v="A"/>
    <n v="1670"/>
    <s v="None"/>
    <n v="0"/>
    <n v="2"/>
    <s v="Excel Workshop"/>
    <x v="3"/>
    <s v="None"/>
  </r>
  <r>
    <n v="3078"/>
    <x v="41"/>
    <x v="0"/>
    <n v="21"/>
    <x v="0"/>
    <x v="0"/>
    <x v="0"/>
    <x v="4"/>
    <s v="Sean Tucker PhD"/>
    <s v="2018-11-29"/>
    <x v="1"/>
    <x v="2"/>
    <n v="59506"/>
    <s v="A"/>
    <n v="4428"/>
    <s v="Health + Dental"/>
    <n v="0"/>
    <n v="1"/>
    <s v="None"/>
    <x v="3"/>
    <s v="Certified Professional"/>
  </r>
  <r>
    <n v="6357"/>
    <x v="42"/>
    <x v="0"/>
    <n v="46"/>
    <x v="4"/>
    <x v="2"/>
    <x v="1"/>
    <x v="4"/>
    <s v="Jacob Scott"/>
    <s v="2022-11-14"/>
    <x v="1"/>
    <x v="2"/>
    <n v="49058"/>
    <s v="B"/>
    <n v="4396"/>
    <s v="None"/>
    <n v="5"/>
    <n v="1"/>
    <s v="None"/>
    <x v="3"/>
    <s v="None"/>
  </r>
  <r>
    <n v="7951"/>
    <x v="43"/>
    <x v="0"/>
    <n v="36"/>
    <x v="2"/>
    <x v="3"/>
    <x v="2"/>
    <x v="4"/>
    <s v="Joel Park"/>
    <s v="2016-02-23"/>
    <x v="1"/>
    <x v="0"/>
    <n v="98612"/>
    <s v="A"/>
    <n v="1168"/>
    <s v="None"/>
    <n v="9"/>
    <n v="2"/>
    <s v="Excel Workshop"/>
    <x v="0"/>
    <s v="Certified Professional"/>
  </r>
  <r>
    <n v="9228"/>
    <x v="44"/>
    <x v="1"/>
    <n v="41"/>
    <x v="2"/>
    <x v="4"/>
    <x v="3"/>
    <x v="1"/>
    <s v="Russell Marshall"/>
    <s v="2018-05-18"/>
    <x v="2"/>
    <x v="1"/>
    <n v="38201"/>
    <s v="A"/>
    <n v="7111"/>
    <s v="Health"/>
    <n v="8"/>
    <n v="4"/>
    <s v="Leadership Training"/>
    <x v="3"/>
    <s v="None"/>
  </r>
  <r>
    <n v="8988"/>
    <x v="45"/>
    <x v="1"/>
    <n v="25"/>
    <x v="0"/>
    <x v="0"/>
    <x v="2"/>
    <x v="2"/>
    <s v="James Holden"/>
    <s v="2024-03-09"/>
    <x v="2"/>
    <x v="1"/>
    <n v="92919"/>
    <s v="D"/>
    <n v="9497"/>
    <s v="Health"/>
    <n v="7"/>
    <n v="2"/>
    <s v="None"/>
    <x v="3"/>
    <s v="Advanced Training"/>
  </r>
  <r>
    <n v="1952"/>
    <x v="46"/>
    <x v="0"/>
    <n v="29"/>
    <x v="1"/>
    <x v="4"/>
    <x v="0"/>
    <x v="1"/>
    <s v="Thomas Murphy"/>
    <s v="2024-03-27"/>
    <x v="0"/>
    <x v="2"/>
    <n v="45188"/>
    <s v="A"/>
    <n v="9591"/>
    <s v="Health + Dental"/>
    <n v="18"/>
    <n v="3"/>
    <s v="Leadership Training"/>
    <x v="3"/>
    <s v="None"/>
  </r>
  <r>
    <n v="5760"/>
    <x v="47"/>
    <x v="0"/>
    <n v="59"/>
    <x v="3"/>
    <x v="2"/>
    <x v="1"/>
    <x v="0"/>
    <s v="Mark Abbott"/>
    <s v="2019-12-23"/>
    <x v="0"/>
    <x v="1"/>
    <n v="34927"/>
    <s v="D"/>
    <n v="6996"/>
    <s v="Health + Dental"/>
    <n v="16"/>
    <n v="1"/>
    <s v="Excel Workshop"/>
    <x v="0"/>
    <s v="Certified Professional"/>
  </r>
  <r>
    <n v="5742"/>
    <x v="48"/>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898117-FD30-4B99-B29B-89FB0E743031}" name="Departments"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4:Z6" firstHeaderRow="1" firstDataRow="1" firstDataCol="1"/>
  <pivotFields count="21">
    <pivotField showAll="0"/>
    <pivotField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pivotField showAll="0"/>
    <pivotField showAll="0"/>
    <pivotField showAll="0"/>
    <pivotField showAll="0"/>
    <pivotField axis="axisRow" showAll="0">
      <items count="6">
        <item h="1" x="0"/>
        <item h="1" x="1"/>
        <item h="1" x="4"/>
        <item h="1"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2">
    <i>
      <x v="4"/>
    </i>
    <i t="grand">
      <x/>
    </i>
  </rowItems>
  <colItems count="1">
    <i/>
  </colItems>
  <dataFields count="1">
    <dataField name="Average of Performance Rating" fld="17" subtotal="average" baseField="7" baseItem="0" numFmtId="173"/>
  </dataFields>
  <formats count="2">
    <format dxfId="769">
      <pivotArea collapsedLevelsAreSubtotals="1" fieldPosition="0">
        <references count="1">
          <reference field="7" count="0"/>
        </references>
      </pivotArea>
    </format>
    <format dxfId="7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167D2E-191A-4CB3-A02F-F3E8F715FD15}" name="Region"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4:W10"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pivotField showAll="0"/>
    <pivotField showAll="0"/>
    <pivotField axis="axisRow" showAll="0">
      <items count="6">
        <item x="1"/>
        <item x="0"/>
        <item x="4"/>
        <item x="3"/>
        <item x="2"/>
        <item t="default"/>
      </items>
    </pivotField>
    <pivotField showAll="0"/>
    <pivotField showAll="0">
      <items count="6">
        <item h="1" x="0"/>
        <item h="1" x="1"/>
        <item h="1" x="4"/>
        <item h="1"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B404EF-3B31-4204-B754-4242C1DBF562}" name="Skills"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4:T10"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pivotField showAll="0"/>
    <pivotField showAll="0"/>
    <pivotField showAll="0"/>
    <pivotField showAll="0"/>
    <pivotField showAll="0">
      <items count="6">
        <item h="1" x="0"/>
        <item h="1" x="1"/>
        <item h="1" x="4"/>
        <item h="1"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formats count="6">
    <format dxfId="775">
      <pivotArea type="all" dataOnly="0" outline="0" fieldPosition="0"/>
    </format>
    <format dxfId="774">
      <pivotArea outline="0" collapsedLevelsAreSubtotals="1" fieldPosition="0"/>
    </format>
    <format dxfId="773">
      <pivotArea field="19" type="button" dataOnly="0" labelOnly="1" outline="0" axis="axisRow" fieldPosition="0"/>
    </format>
    <format dxfId="772">
      <pivotArea dataOnly="0" labelOnly="1" fieldPosition="0">
        <references count="1">
          <reference field="19" count="0"/>
        </references>
      </pivotArea>
    </format>
    <format dxfId="771">
      <pivotArea dataOnly="0" labelOnly="1" grandRow="1" outline="0" fieldPosition="0"/>
    </format>
    <format dxfId="77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372AEE-7060-4F0E-BB95-50130839123E}" name="Workplace"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O9"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pivotField showAll="0"/>
    <pivotField showAll="0"/>
    <pivotField showAll="0"/>
    <pivotField showAll="0"/>
    <pivotField showAll="0">
      <items count="6">
        <item h="1" x="0"/>
        <item h="1" x="1"/>
        <item h="1" x="4"/>
        <item h="1" x="2"/>
        <item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formats count="6">
    <format dxfId="781">
      <pivotArea type="all" dataOnly="0" outline="0" fieldPosition="0"/>
    </format>
    <format dxfId="780">
      <pivotArea outline="0" collapsedLevelsAreSubtotals="1" fieldPosition="0"/>
    </format>
    <format dxfId="779">
      <pivotArea field="11" type="button" dataOnly="0" labelOnly="1" outline="0" axis="axisRow" fieldPosition="0"/>
    </format>
    <format dxfId="778">
      <pivotArea dataOnly="0" labelOnly="1" fieldPosition="0">
        <references count="1">
          <reference field="11" count="0"/>
        </references>
      </pivotArea>
    </format>
    <format dxfId="777">
      <pivotArea dataOnly="0" labelOnly="1" grandRow="1" outline="0" fieldPosition="0"/>
    </format>
    <format dxfId="7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4ADC5D-7117-43DC-B499-8F117E2A01DB}" name="Age range"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5:L12" firstHeaderRow="1" firstDataRow="2"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h="1" x="0"/>
        <item h="1" x="1"/>
        <item h="1" x="4"/>
        <item h="1"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formats count="10">
    <format dxfId="791">
      <pivotArea type="all" dataOnly="0" outline="0" fieldPosition="0"/>
    </format>
    <format dxfId="790">
      <pivotArea outline="0" collapsedLevelsAreSubtotals="1" fieldPosition="0"/>
    </format>
    <format dxfId="789">
      <pivotArea type="origin" dataOnly="0" labelOnly="1" outline="0" fieldPosition="0"/>
    </format>
    <format dxfId="788">
      <pivotArea field="2" type="button" dataOnly="0" labelOnly="1" outline="0" axis="axisCol" fieldPosition="0"/>
    </format>
    <format dxfId="787">
      <pivotArea type="topRight" dataOnly="0" labelOnly="1" outline="0" fieldPosition="0"/>
    </format>
    <format dxfId="786">
      <pivotArea field="4" type="button" dataOnly="0" labelOnly="1" outline="0" axis="axisRow" fieldPosition="0"/>
    </format>
    <format dxfId="785">
      <pivotArea dataOnly="0" labelOnly="1" fieldPosition="0">
        <references count="1">
          <reference field="4" count="0"/>
        </references>
      </pivotArea>
    </format>
    <format dxfId="784">
      <pivotArea dataOnly="0" labelOnly="1" grandRow="1" outline="0" fieldPosition="0"/>
    </format>
    <format dxfId="783">
      <pivotArea dataOnly="0" labelOnly="1" fieldPosition="0">
        <references count="1">
          <reference field="2" count="0"/>
        </references>
      </pivotArea>
    </format>
    <format dxfId="782">
      <pivotArea dataOnly="0" labelOnly="1" grandCol="1" outline="0" fieldPosition="0"/>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5A2676-E650-473B-ADD5-3CF553955ABE}" name="Salaries"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G9" firstHeaderRow="0" firstDataRow="1" firstDataCol="1"/>
  <pivotFields count="21">
    <pivotField showAll="0"/>
    <pivotField showAll="0"/>
    <pivotField showAll="0">
      <items count="3">
        <item h="1" x="0"/>
        <item x="1"/>
        <item t="default"/>
      </items>
    </pivotField>
    <pivotField showAll="0"/>
    <pivotField showAll="0"/>
    <pivotField showAll="0"/>
    <pivotField axis="axisRow" showAll="0">
      <items count="6">
        <item x="4"/>
        <item x="1"/>
        <item x="3"/>
        <item x="2"/>
        <item x="0"/>
        <item t="default"/>
      </items>
    </pivotField>
    <pivotField showAll="0">
      <items count="6">
        <item h="1" x="0"/>
        <item h="1" x="1"/>
        <item h="1" x="4"/>
        <item h="1" x="2"/>
        <item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4">
    <i>
      <x/>
    </i>
    <i>
      <x v="1"/>
    </i>
    <i>
      <x v="4"/>
    </i>
    <i t="grand">
      <x/>
    </i>
  </rowItems>
  <colFields count="1">
    <field x="-2"/>
  </colFields>
  <colItems count="2">
    <i>
      <x/>
    </i>
    <i i="1">
      <x v="1"/>
    </i>
  </colItems>
  <dataFields count="2">
    <dataField name="Sum of Salary" fld="12" baseField="0" baseItem="0"/>
    <dataField name="Sum of Leave Taken" fld="16" baseField="0" baseItem="0"/>
  </dataFields>
  <formats count="7">
    <format dxfId="761">
      <pivotArea type="all" dataOnly="0" outline="0" fieldPosition="0"/>
    </format>
    <format dxfId="762">
      <pivotArea outline="0" collapsedLevelsAreSubtotals="1" fieldPosition="0"/>
    </format>
    <format dxfId="763">
      <pivotArea field="6" type="button" dataOnly="0" labelOnly="1" outline="0" axis="axisRow" fieldPosition="0"/>
    </format>
    <format dxfId="764">
      <pivotArea dataOnly="0" labelOnly="1" fieldPosition="0">
        <references count="1">
          <reference field="6" count="0"/>
        </references>
      </pivotArea>
    </format>
    <format dxfId="765">
      <pivotArea dataOnly="0" labelOnly="1" grandRow="1" outline="0" fieldPosition="0"/>
    </format>
    <format dxfId="766">
      <pivotArea dataOnly="0" labelOnly="1" outline="0" axis="axisValues" fieldPosition="0"/>
    </format>
    <format dxfId="767">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753E09-3E9D-481A-898F-8BD27098725F}" name="Employment status"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9"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pivotField showAll="0"/>
    <pivotField showAll="0"/>
    <pivotField showAll="0"/>
    <pivotField showAll="0"/>
    <pivotField showAll="0">
      <items count="6">
        <item h="1" x="0"/>
        <item h="1" x="1"/>
        <item h="1" x="4"/>
        <item h="1"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formats count="6">
    <format dxfId="797">
      <pivotArea type="all" dataOnly="0" outline="0" fieldPosition="0"/>
    </format>
    <format dxfId="796">
      <pivotArea outline="0" collapsedLevelsAreSubtotals="1" fieldPosition="0"/>
    </format>
    <format dxfId="795">
      <pivotArea field="10" type="button" dataOnly="0" labelOnly="1" outline="0" axis="axisRow" fieldPosition="0"/>
    </format>
    <format dxfId="794">
      <pivotArea dataOnly="0" labelOnly="1" fieldPosition="0">
        <references count="1">
          <reference field="10" count="0"/>
        </references>
      </pivotArea>
    </format>
    <format dxfId="793">
      <pivotArea dataOnly="0" labelOnly="1" grandRow="1" outline="0" fieldPosition="0"/>
    </format>
    <format dxfId="7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889EB5D-08C1-4557-95DD-1686760DE24B}" sourceName="Gender">
  <pivotTables>
    <pivotTable tabId="3" name="Salaries"/>
  </pivotTables>
  <data>
    <tabular pivotCacheId="209277412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AB735C6-B686-4FE6-A32F-23069B8D6545}" sourceName="Department">
  <pivotTables>
    <pivotTable tabId="3" name="Salaries"/>
    <pivotTable tabId="3" name="Age range"/>
    <pivotTable tabId="3" name="Departments"/>
    <pivotTable tabId="3" name="Employment status"/>
    <pivotTable tabId="3" name="Region"/>
    <pivotTable tabId="3" name="Skills"/>
    <pivotTable tabId="3" name="Workplace"/>
  </pivotTables>
  <data>
    <tabular pivotCacheId="2092774125">
      <items count="5">
        <i x="0"/>
        <i x="1"/>
        <i x="4"/>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9BCBA11-956B-43C0-9DA5-45C861CE25D5}" cache="Slicer_Gender" caption="Gender" columnCount="2" style="Slicer Style 1" rowHeight="247650"/>
  <slicer name="Department" xr10:uid="{9A3098FE-7803-43C0-8152-F18E04EBE19C}" cache="Slicer_Department" caption="Department" columnCount="3"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820" dataDxfId="819">
  <autoFilter ref="A1:U51" xr:uid="{BD7F130C-4931-4EC9-8AE2-A64F6556D3A3}"/>
  <tableColumns count="21">
    <tableColumn id="1" xr3:uid="{6BDBB43D-1DF4-4FF3-9C56-0E3D699A83FC}" name="Employee ID" dataDxfId="818"/>
    <tableColumn id="2" xr3:uid="{363D91B7-21AD-4B4B-86DE-95D24769EAA5}" name="Full Name" dataDxfId="817"/>
    <tableColumn id="3" xr3:uid="{728245EC-9766-45F5-9851-7FEFEFBE2652}" name="Gender" dataDxfId="816"/>
    <tableColumn id="4" xr3:uid="{DD8A90D1-163F-4B0E-A039-9E7A16AFC106}" name="Age" dataDxfId="815"/>
    <tableColumn id="5" xr3:uid="{0672993B-A00D-49AE-84B7-674089468A17}" name="Age range" dataDxfId="814"/>
    <tableColumn id="6" xr3:uid="{B1ADEE80-60F1-4EE3-B3FB-8484EE6C17B3}" name="Region" dataDxfId="813"/>
    <tableColumn id="7" xr3:uid="{8E0A56EE-3456-4513-ADA0-27F6CAA8C17B}" name="Job Title" dataDxfId="812"/>
    <tableColumn id="8" xr3:uid="{0D9D5DB9-01CB-4300-B0CD-256901621ADC}" name="Department" dataDxfId="811"/>
    <tableColumn id="9" xr3:uid="{9EBDAC3F-6A39-4A78-B562-848691EE3AD1}" name="Manager/Supervisor" dataDxfId="810"/>
    <tableColumn id="10" xr3:uid="{AF849F24-150A-4123-B3F8-A46B4D4F7BC6}" name="Date of Hire" dataDxfId="809"/>
    <tableColumn id="11" xr3:uid="{8C57202E-334A-462A-9C44-E5E2468122E4}" name="Employment Status" dataDxfId="808"/>
    <tableColumn id="12" xr3:uid="{8A07812C-245C-4D55-A210-3AE7E0BB84EB}" name="Work Location" dataDxfId="807"/>
    <tableColumn id="13" xr3:uid="{6441036C-01DD-4130-8E4B-DBA441BCB744}" name="Salary" dataDxfId="806"/>
    <tableColumn id="14" xr3:uid="{ADCF531A-A98E-422C-939D-04D58C2423FB}" name="Pay Grade" dataDxfId="805"/>
    <tableColumn id="15" xr3:uid="{DE922695-AE31-4F31-8F89-61E6E7E646AB}" name="Bonus/Allowances" dataDxfId="804"/>
    <tableColumn id="16" xr3:uid="{62F2B816-9954-4A01-AEDC-4C13B3A2A52F}" name="Insurance Details" dataDxfId="803"/>
    <tableColumn id="17" xr3:uid="{6EFEC335-9B75-45D5-B403-A8A9E557BE24}" name="Leave Taken" dataDxfId="802"/>
    <tableColumn id="18" xr3:uid="{9DA1B78E-154E-42E4-A1BC-FE1CF363DCBA}" name="Performance Rating" dataDxfId="801"/>
    <tableColumn id="19" xr3:uid="{7E4B5E79-5639-4E3A-91A1-D1D8767BB705}" name="Training Programs Attended" dataDxfId="800"/>
    <tableColumn id="20" xr3:uid="{2E731344-8C6D-4001-9E36-F16B80500F61}" name="Skills" dataDxfId="799"/>
    <tableColumn id="21" xr3:uid="{9DCE550B-F788-4423-B330-CAB70C041DFC}" name="Certifications" dataDxfId="79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topLeftCell="A2" workbookViewId="0">
      <selection activeCell="D13" sqref="D13"/>
    </sheetView>
  </sheetViews>
  <sheetFormatPr defaultColWidth="9.109375" defaultRowHeight="13.8"/>
  <cols>
    <col min="1" max="1" width="17.6640625" style="2" bestFit="1" customWidth="1"/>
    <col min="2" max="2" width="18.109375" style="2" bestFit="1" customWidth="1"/>
    <col min="3" max="3" width="12.88671875" style="2" bestFit="1" customWidth="1"/>
    <col min="4" max="4" width="9.5546875" style="2" bestFit="1" customWidth="1"/>
    <col min="5" max="5" width="15.88671875" style="2" bestFit="1" customWidth="1"/>
    <col min="6" max="6" width="12.33203125" style="2" bestFit="1" customWidth="1"/>
    <col min="7" max="7" width="14.109375" style="2" bestFit="1" customWidth="1"/>
    <col min="8" max="8" width="17.44140625" style="2" bestFit="1" customWidth="1"/>
    <col min="9" max="9" width="25.6640625" style="2" bestFit="1" customWidth="1"/>
    <col min="10" max="10" width="18" style="2" bestFit="1" customWidth="1"/>
    <col min="11" max="11" width="25" style="2" bestFit="1" customWidth="1"/>
    <col min="12" max="12" width="20.33203125" style="2" bestFit="1" customWidth="1"/>
    <col min="13" max="13" width="11.88671875" style="2" bestFit="1" customWidth="1"/>
    <col min="14" max="14" width="16.109375" style="2" bestFit="1" customWidth="1"/>
    <col min="15" max="15" width="24" style="2" bestFit="1" customWidth="1"/>
    <col min="16" max="16" width="22.6640625" style="2" bestFit="1" customWidth="1"/>
    <col min="17" max="17" width="18.109375" style="2" bestFit="1" customWidth="1"/>
    <col min="18" max="18" width="25.44140625" style="2" bestFit="1" customWidth="1"/>
    <col min="19" max="19" width="34" style="2" bestFit="1" customWidth="1"/>
    <col min="20" max="20" width="16" style="2" bestFit="1" customWidth="1"/>
    <col min="21" max="21" width="21.109375" style="2" bestFit="1" customWidth="1"/>
    <col min="22" max="16384" width="9.10937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9E8CF-03A5-457C-8FF0-D13626247F13}">
  <dimension ref="A1"/>
  <sheetViews>
    <sheetView showGridLines="0" tabSelected="1" zoomScale="126" zoomScaleNormal="100" workbookViewId="0">
      <selection activeCell="V11" sqref="V11"/>
    </sheetView>
  </sheetViews>
  <sheetFormatPr defaultRowHeight="14.4"/>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17D95-EC67-43B8-94BF-AAA306484CAC}">
  <dimension ref="B3:AA60"/>
  <sheetViews>
    <sheetView zoomScale="102" workbookViewId="0">
      <selection activeCell="AA13" sqref="AA13"/>
    </sheetView>
  </sheetViews>
  <sheetFormatPr defaultRowHeight="13.8"/>
  <cols>
    <col min="1" max="1" width="4.6640625" style="8" customWidth="1"/>
    <col min="2" max="2" width="14.5546875" style="8" bestFit="1" customWidth="1"/>
    <col min="3" max="3" width="19.77734375" style="8" bestFit="1" customWidth="1"/>
    <col min="4" max="4" width="4.6640625" style="8" customWidth="1"/>
    <col min="5" max="5" width="14.5546875" style="8" bestFit="1" customWidth="1"/>
    <col min="6" max="6" width="14.6640625" style="8" bestFit="1" customWidth="1"/>
    <col min="7" max="7" width="21.109375" style="8" bestFit="1" customWidth="1"/>
    <col min="8" max="8" width="21.109375" style="8" customWidth="1"/>
    <col min="9" max="9" width="19.77734375" style="8" bestFit="1" customWidth="1"/>
    <col min="10" max="10" width="17.88671875" style="8" bestFit="1" customWidth="1"/>
    <col min="11" max="11" width="5.5546875" style="8" bestFit="1" customWidth="1"/>
    <col min="12" max="12" width="12.44140625" style="8" bestFit="1" customWidth="1"/>
    <col min="13" max="13" width="8.88671875" style="8"/>
    <col min="14" max="14" width="14.5546875" style="8" bestFit="1" customWidth="1"/>
    <col min="15" max="15" width="19.77734375" style="8" customWidth="1"/>
    <col min="16" max="18" width="8.88671875" style="8"/>
    <col min="19" max="19" width="15.109375" style="8" bestFit="1" customWidth="1"/>
    <col min="20" max="20" width="19.77734375" style="8" bestFit="1" customWidth="1"/>
    <col min="21" max="21" width="8.88671875" style="8"/>
    <col min="22" max="22" width="12.77734375" style="8" bestFit="1" customWidth="1"/>
    <col min="23" max="23" width="17.6640625" style="8" bestFit="1" customWidth="1"/>
    <col min="24" max="24" width="8.88671875" style="8"/>
    <col min="25" max="25" width="12.77734375" style="8" bestFit="1" customWidth="1"/>
    <col min="26" max="26" width="27.77734375" style="8" bestFit="1" customWidth="1"/>
    <col min="27" max="16384" width="8.88671875" style="8"/>
  </cols>
  <sheetData>
    <row r="3" spans="2:27" ht="21.6" customHeight="1">
      <c r="B3" s="14" t="s">
        <v>217</v>
      </c>
      <c r="C3" s="14"/>
      <c r="D3" s="13"/>
      <c r="E3" s="14" t="s">
        <v>220</v>
      </c>
      <c r="F3" s="14"/>
      <c r="G3" s="14"/>
      <c r="I3" s="14" t="s">
        <v>222</v>
      </c>
      <c r="J3" s="14"/>
      <c r="N3" s="14" t="s">
        <v>223</v>
      </c>
      <c r="O3" s="14"/>
      <c r="S3" s="14" t="s">
        <v>19</v>
      </c>
      <c r="T3" s="14"/>
      <c r="V3" s="14" t="s">
        <v>225</v>
      </c>
      <c r="W3" s="14"/>
      <c r="Y3" s="14" t="s">
        <v>226</v>
      </c>
      <c r="Z3" s="14"/>
    </row>
    <row r="4" spans="2:27" ht="14.4">
      <c r="B4" s="12"/>
      <c r="C4" s="12"/>
      <c r="D4" s="13"/>
      <c r="S4" s="9" t="s">
        <v>214</v>
      </c>
      <c r="T4" s="8" t="s">
        <v>216</v>
      </c>
      <c r="U4"/>
      <c r="V4" s="5" t="s">
        <v>214</v>
      </c>
      <c r="W4" t="s">
        <v>216</v>
      </c>
      <c r="X4"/>
      <c r="Y4" s="5" t="s">
        <v>214</v>
      </c>
      <c r="Z4" t="s">
        <v>227</v>
      </c>
      <c r="AA4"/>
    </row>
    <row r="5" spans="2:27" ht="14.4">
      <c r="B5" s="9" t="s">
        <v>214</v>
      </c>
      <c r="C5" s="8" t="s">
        <v>216</v>
      </c>
      <c r="E5" s="9" t="s">
        <v>214</v>
      </c>
      <c r="F5" s="8" t="s">
        <v>219</v>
      </c>
      <c r="G5" s="8" t="s">
        <v>224</v>
      </c>
      <c r="I5" s="9" t="s">
        <v>216</v>
      </c>
      <c r="J5" s="9" t="s">
        <v>221</v>
      </c>
      <c r="N5" s="9" t="s">
        <v>214</v>
      </c>
      <c r="O5" s="8" t="s">
        <v>216</v>
      </c>
      <c r="P5"/>
      <c r="S5" s="10" t="s">
        <v>75</v>
      </c>
      <c r="T5" s="11">
        <v>1</v>
      </c>
      <c r="U5"/>
      <c r="V5" s="6" t="s">
        <v>39</v>
      </c>
      <c r="W5" s="7">
        <v>3</v>
      </c>
      <c r="X5"/>
      <c r="Y5" s="6" t="s">
        <v>60</v>
      </c>
      <c r="Z5" s="22">
        <v>2.5555555555555554</v>
      </c>
      <c r="AA5"/>
    </row>
    <row r="6" spans="2:27" ht="14.4">
      <c r="B6" s="10" t="s">
        <v>63</v>
      </c>
      <c r="C6" s="11">
        <v>3</v>
      </c>
      <c r="E6" s="10" t="s">
        <v>121</v>
      </c>
      <c r="F6" s="15">
        <v>46811</v>
      </c>
      <c r="G6" s="15">
        <v>7</v>
      </c>
      <c r="H6" s="15"/>
      <c r="I6" s="9" t="s">
        <v>214</v>
      </c>
      <c r="J6" s="8" t="s">
        <v>22</v>
      </c>
      <c r="K6" s="8" t="s">
        <v>37</v>
      </c>
      <c r="L6" s="8" t="s">
        <v>215</v>
      </c>
      <c r="N6" s="10" t="s">
        <v>44</v>
      </c>
      <c r="O6" s="11">
        <v>4</v>
      </c>
      <c r="P6"/>
      <c r="S6" s="10" t="s">
        <v>34</v>
      </c>
      <c r="T6" s="11">
        <v>2</v>
      </c>
      <c r="U6"/>
      <c r="V6" s="6" t="s">
        <v>24</v>
      </c>
      <c r="W6" s="7">
        <v>1</v>
      </c>
      <c r="X6"/>
      <c r="Y6" s="6" t="s">
        <v>215</v>
      </c>
      <c r="Z6" s="22">
        <v>2.5555555555555554</v>
      </c>
      <c r="AA6"/>
    </row>
    <row r="7" spans="2:27" ht="14.4">
      <c r="B7" s="10" t="s">
        <v>29</v>
      </c>
      <c r="C7" s="11">
        <v>5</v>
      </c>
      <c r="E7" s="10" t="s">
        <v>40</v>
      </c>
      <c r="F7" s="15">
        <v>116442</v>
      </c>
      <c r="G7" s="15">
        <v>27</v>
      </c>
      <c r="H7" s="15"/>
      <c r="I7" s="10" t="s">
        <v>23</v>
      </c>
      <c r="J7" s="11">
        <v>1</v>
      </c>
      <c r="K7" s="11"/>
      <c r="L7" s="11">
        <v>1</v>
      </c>
      <c r="N7" s="10" t="s">
        <v>30</v>
      </c>
      <c r="O7" s="11">
        <v>1</v>
      </c>
      <c r="P7"/>
      <c r="S7" s="10" t="s">
        <v>96</v>
      </c>
      <c r="T7" s="11">
        <v>1</v>
      </c>
      <c r="U7"/>
      <c r="V7" s="6" t="s">
        <v>102</v>
      </c>
      <c r="W7" s="7">
        <v>2</v>
      </c>
      <c r="X7"/>
      <c r="Y7"/>
      <c r="Z7"/>
      <c r="AA7"/>
    </row>
    <row r="8" spans="2:27" ht="14.4">
      <c r="B8" s="10" t="s">
        <v>111</v>
      </c>
      <c r="C8" s="11">
        <v>1</v>
      </c>
      <c r="E8" s="10" t="s">
        <v>25</v>
      </c>
      <c r="F8" s="15">
        <v>122472</v>
      </c>
      <c r="G8" s="15">
        <v>2</v>
      </c>
      <c r="H8" s="15"/>
      <c r="I8" s="10" t="s">
        <v>38</v>
      </c>
      <c r="J8" s="11">
        <v>2</v>
      </c>
      <c r="K8" s="11"/>
      <c r="L8" s="11">
        <v>2</v>
      </c>
      <c r="N8" s="10" t="s">
        <v>54</v>
      </c>
      <c r="O8" s="11">
        <v>4</v>
      </c>
      <c r="P8"/>
      <c r="S8" s="10" t="s">
        <v>56</v>
      </c>
      <c r="T8" s="11">
        <v>1</v>
      </c>
      <c r="U8"/>
      <c r="V8" s="6" t="s">
        <v>80</v>
      </c>
      <c r="W8" s="7">
        <v>2</v>
      </c>
      <c r="X8"/>
      <c r="Y8"/>
      <c r="Z8"/>
      <c r="AA8"/>
    </row>
    <row r="9" spans="2:27" ht="14.4">
      <c r="B9" s="10" t="s">
        <v>215</v>
      </c>
      <c r="C9" s="11">
        <v>9</v>
      </c>
      <c r="E9" s="10" t="s">
        <v>215</v>
      </c>
      <c r="F9" s="11">
        <v>285725</v>
      </c>
      <c r="G9" s="11">
        <v>36</v>
      </c>
      <c r="H9" s="15"/>
      <c r="I9" s="10" t="s">
        <v>59</v>
      </c>
      <c r="J9" s="11">
        <v>1</v>
      </c>
      <c r="K9" s="11">
        <v>2</v>
      </c>
      <c r="L9" s="11">
        <v>3</v>
      </c>
      <c r="N9" s="10" t="s">
        <v>215</v>
      </c>
      <c r="O9" s="11">
        <v>9</v>
      </c>
      <c r="P9"/>
      <c r="S9" s="10" t="s">
        <v>66</v>
      </c>
      <c r="T9" s="11">
        <v>4</v>
      </c>
      <c r="U9"/>
      <c r="V9" s="6" t="s">
        <v>49</v>
      </c>
      <c r="W9" s="7">
        <v>1</v>
      </c>
      <c r="X9"/>
      <c r="Y9"/>
      <c r="Z9"/>
      <c r="AA9"/>
    </row>
    <row r="10" spans="2:27" ht="14.4">
      <c r="E10"/>
      <c r="F10"/>
      <c r="G10"/>
      <c r="H10" s="15"/>
      <c r="I10" s="10" t="s">
        <v>98</v>
      </c>
      <c r="J10" s="11"/>
      <c r="K10" s="11">
        <v>1</v>
      </c>
      <c r="L10" s="11">
        <v>1</v>
      </c>
      <c r="P10"/>
      <c r="S10" s="10" t="s">
        <v>215</v>
      </c>
      <c r="T10" s="11">
        <v>9</v>
      </c>
      <c r="U10"/>
      <c r="V10" s="6" t="s">
        <v>215</v>
      </c>
      <c r="W10" s="7">
        <v>9</v>
      </c>
      <c r="X10"/>
      <c r="Y10"/>
      <c r="Z10"/>
      <c r="AA10"/>
    </row>
    <row r="11" spans="2:27" ht="14.4">
      <c r="E11"/>
      <c r="F11"/>
      <c r="G11"/>
      <c r="H11" s="11"/>
      <c r="I11" s="10" t="s">
        <v>68</v>
      </c>
      <c r="J11" s="11"/>
      <c r="K11" s="11">
        <v>2</v>
      </c>
      <c r="L11" s="11">
        <v>2</v>
      </c>
      <c r="P11"/>
      <c r="U11"/>
      <c r="V11"/>
      <c r="W11"/>
      <c r="X11"/>
      <c r="Y11"/>
      <c r="Z11"/>
      <c r="AA11"/>
    </row>
    <row r="12" spans="2:27" ht="14.4">
      <c r="B12" s="10" t="s">
        <v>63</v>
      </c>
      <c r="C12" s="8">
        <f>IFERROR(GETPIVOTDATA("Full Name",$B$5,"Employment Status","Contract"),"0")</f>
        <v>3</v>
      </c>
      <c r="G12"/>
      <c r="H12"/>
      <c r="I12" s="10" t="s">
        <v>215</v>
      </c>
      <c r="J12" s="11">
        <v>4</v>
      </c>
      <c r="K12" s="11">
        <v>5</v>
      </c>
      <c r="L12" s="11">
        <v>9</v>
      </c>
      <c r="N12" s="10" t="s">
        <v>44</v>
      </c>
      <c r="O12" s="8">
        <f>IFERROR(GETPIVOTDATA("Full Name",$N$5,"Work Location","Branch Office"),"0")</f>
        <v>4</v>
      </c>
      <c r="P12" s="17">
        <f t="shared" ref="P12:P14" si="0">SUM(O12)/SUM($O$12:$O$14)</f>
        <v>0.44444444444444442</v>
      </c>
      <c r="Q12" s="18">
        <f>1-P12</f>
        <v>0.55555555555555558</v>
      </c>
      <c r="S12" s="10" t="s">
        <v>75</v>
      </c>
      <c r="T12" s="8">
        <f>IFERROR(GETPIVOTDATA("Full Name",$S$4,"Skills","Communication"),"0")</f>
        <v>1</v>
      </c>
      <c r="U12"/>
      <c r="V12" s="6" t="s">
        <v>39</v>
      </c>
      <c r="W12">
        <f>IFERROR(GETPIVOTDATA("Full Name",$V$4,"Region","Central"),"0")</f>
        <v>3</v>
      </c>
      <c r="X12"/>
      <c r="Y12" s="6" t="s">
        <v>26</v>
      </c>
      <c r="Z12" s="22" t="str">
        <f>IFERROR(GETPIVOTDATA("Performance Rating",$Y$4,"Department","Finance"),"0")</f>
        <v>0</v>
      </c>
      <c r="AA12"/>
    </row>
    <row r="13" spans="2:27" ht="14.4">
      <c r="B13" s="10" t="s">
        <v>29</v>
      </c>
      <c r="C13" s="8">
        <f>IFERROR(GETPIVOTDATA("Full Name",$B$5,"Employment Status","Full-Time"),"0")</f>
        <v>5</v>
      </c>
      <c r="E13" s="8" t="s">
        <v>121</v>
      </c>
      <c r="F13" s="16">
        <f>IFERROR(GETPIVOTDATA("Salary",$E$5,"Job Title","Analyst"),"0")</f>
        <v>46811</v>
      </c>
      <c r="G13" s="16">
        <f>IFERROR(GETPIVOTDATA("Sum of Leave Taken",$E$5,"Job Title","Analyst"),"0")</f>
        <v>7</v>
      </c>
      <c r="H13"/>
      <c r="N13" s="10" t="s">
        <v>30</v>
      </c>
      <c r="O13" s="8">
        <f>IFERROR(GETPIVOTDATA("Full Name",$N$5,"Work Location","Head Office"),"0")</f>
        <v>1</v>
      </c>
      <c r="P13" s="17">
        <f t="shared" si="0"/>
        <v>0.1111111111111111</v>
      </c>
      <c r="Q13" s="18">
        <f t="shared" ref="Q13:Q14" si="1">1-P13</f>
        <v>0.88888888888888884</v>
      </c>
      <c r="S13" s="10" t="s">
        <v>34</v>
      </c>
      <c r="T13" s="8">
        <f>IFERROR(GETPIVOTDATA("Full Name",$S$4,"Skills","Design"),"0")</f>
        <v>2</v>
      </c>
      <c r="U13"/>
      <c r="V13" s="6" t="s">
        <v>24</v>
      </c>
      <c r="W13">
        <f>IFERROR(GETPIVOTDATA("Full Name",$V$4,"Region","East"),"0")</f>
        <v>1</v>
      </c>
      <c r="X13"/>
      <c r="Y13" s="6" t="s">
        <v>41</v>
      </c>
      <c r="Z13" s="22" t="str">
        <f>IFERROR(GETPIVOTDATA("Performance Rating",$Y$4,"Department","HR"),"0")</f>
        <v>0</v>
      </c>
      <c r="AA13"/>
    </row>
    <row r="14" spans="2:27" ht="14.4">
      <c r="B14" s="10" t="s">
        <v>111</v>
      </c>
      <c r="C14" s="8">
        <f>IFERROR(GETPIVOTDATA("Full Name",$B$5,"Employment Status","Part-Time"),"0")</f>
        <v>1</v>
      </c>
      <c r="E14" s="8" t="s">
        <v>40</v>
      </c>
      <c r="F14" s="16">
        <f>IFERROR(GETPIVOTDATA("Salary",$E$5,"Job Title","Designer"),"0")</f>
        <v>116442</v>
      </c>
      <c r="G14" s="16">
        <f>IFERROR(GETPIVOTDATA("Sum of Leave Taken",$E$5,"Job Title","Designer"),"0")</f>
        <v>27</v>
      </c>
      <c r="H14"/>
      <c r="I14" s="10" t="s">
        <v>23</v>
      </c>
      <c r="J14" s="8">
        <f>IFERROR(GETPIVOTDATA("Full Name",$I$5,"Age range","18-25"),"0")</f>
        <v>1</v>
      </c>
      <c r="N14" s="10" t="s">
        <v>54</v>
      </c>
      <c r="O14" s="8">
        <f>IFERROR(GETPIVOTDATA("Full Name",$N$5,"Work Location","Remote"),"0")</f>
        <v>4</v>
      </c>
      <c r="P14" s="17">
        <f t="shared" si="0"/>
        <v>0.44444444444444442</v>
      </c>
      <c r="Q14" s="18">
        <f t="shared" si="1"/>
        <v>0.55555555555555558</v>
      </c>
      <c r="S14" s="10" t="s">
        <v>96</v>
      </c>
      <c r="T14" s="8">
        <f>IFERROR(GETPIVOTDATA("Full Name",$S$4,"Skills","Excel"),"0")</f>
        <v>1</v>
      </c>
      <c r="U14"/>
      <c r="V14" s="6" t="s">
        <v>102</v>
      </c>
      <c r="W14">
        <f>IFERROR(GETPIVOTDATA("Full Name",$V$4,"Region","North"),"0")</f>
        <v>2</v>
      </c>
      <c r="X14"/>
      <c r="Y14" s="6" t="s">
        <v>81</v>
      </c>
      <c r="Z14" s="22" t="str">
        <f>IFERROR(GETPIVOTDATA("Performance Rating",$Y$4,"Department","IT"),"0")</f>
        <v>0</v>
      </c>
      <c r="AA14"/>
    </row>
    <row r="15" spans="2:27" ht="14.4">
      <c r="B15" s="8" t="s">
        <v>218</v>
      </c>
      <c r="C15" s="8">
        <f>SUM(C12:C14)</f>
        <v>9</v>
      </c>
      <c r="E15" s="8" t="s">
        <v>72</v>
      </c>
      <c r="F15" s="16" t="str">
        <f>IFERROR(GETPIVOTDATA("Salary",$E$5,"Job Title","Developer"),"0")</f>
        <v>0</v>
      </c>
      <c r="G15" s="16" t="str">
        <f>IFERROR(GETPIVOTDATA("Sum of Leave Taken",$E$5,"Job Title","Developer"),"0")</f>
        <v>0</v>
      </c>
      <c r="H15"/>
      <c r="I15" s="10" t="s">
        <v>38</v>
      </c>
      <c r="J15" s="8">
        <f>IFERROR(GETPIVOTDATA("Full Name",$I$5,"Age range","26-35"),"0")</f>
        <v>2</v>
      </c>
      <c r="N15" s="10" t="s">
        <v>218</v>
      </c>
      <c r="O15" s="8">
        <f>SUM(O12:O14)</f>
        <v>9</v>
      </c>
      <c r="P15"/>
      <c r="S15" s="10" t="s">
        <v>56</v>
      </c>
      <c r="T15" s="8">
        <f>IFERROR(GETPIVOTDATA("Full Name",$S$4,"Skills","Management"),"0")</f>
        <v>1</v>
      </c>
      <c r="U15"/>
      <c r="V15" s="6" t="s">
        <v>80</v>
      </c>
      <c r="W15">
        <f>IFERROR(GETPIVOTDATA("Full Name",$V$4,"Region","South"),"0")</f>
        <v>2</v>
      </c>
      <c r="X15"/>
      <c r="Y15" s="6" t="s">
        <v>51</v>
      </c>
      <c r="Z15" s="22" t="str">
        <f>IFERROR(GETPIVOTDATA("Performance Rating",$Y$4,"Department","Marketing"),"0")</f>
        <v>0</v>
      </c>
      <c r="AA15"/>
    </row>
    <row r="16" spans="2:27" ht="14.4">
      <c r="E16" s="8" t="s">
        <v>50</v>
      </c>
      <c r="F16" s="16" t="str">
        <f>IFERROR(GETPIVOTDATA("Salary",$E$5,"Job Title","HR Specialist"),"0")</f>
        <v>0</v>
      </c>
      <c r="G16" s="16" t="str">
        <f>IFERROR(GETPIVOTDATA("Sum of Leave Taken",$E$5,"Job Title","HR Specialist"),"0")</f>
        <v>0</v>
      </c>
      <c r="H16"/>
      <c r="I16" s="10" t="s">
        <v>59</v>
      </c>
      <c r="J16" s="8">
        <f>IFERROR(GETPIVOTDATA("Full Name",$I$5,"Age range","36-45"),"0")</f>
        <v>3</v>
      </c>
      <c r="P16"/>
      <c r="S16" s="10" t="s">
        <v>66</v>
      </c>
      <c r="T16" s="8">
        <f>IFERROR(GETPIVOTDATA("Full Name",$S$4,"Skills","Python"),"0")</f>
        <v>4</v>
      </c>
      <c r="U16"/>
      <c r="V16" s="6" t="s">
        <v>49</v>
      </c>
      <c r="W16">
        <f>IFERROR(GETPIVOTDATA("Full Name",$V$4,"Region","West"),"0")</f>
        <v>1</v>
      </c>
      <c r="X16"/>
      <c r="Y16" s="6" t="s">
        <v>60</v>
      </c>
      <c r="Z16" s="22">
        <f>IFERROR(GETPIVOTDATA("Performance Rating",$Y$4,"Department","Operations"),"0")</f>
        <v>2.5555555555555554</v>
      </c>
      <c r="AA16"/>
    </row>
    <row r="17" spans="5:27" ht="14.4">
      <c r="E17" s="8" t="s">
        <v>25</v>
      </c>
      <c r="F17" s="16">
        <f>IFERROR(GETPIVOTDATA("Salary",$E$5,"Job Title","Manager"),"0")</f>
        <v>122472</v>
      </c>
      <c r="G17" s="16">
        <f>IFERROR(GETPIVOTDATA("Sum of Leave Taken",$E$5,"Job Title","Manager"),"0")</f>
        <v>2</v>
      </c>
      <c r="H17"/>
      <c r="I17" s="10" t="s">
        <v>98</v>
      </c>
      <c r="J17" s="8">
        <f>IFERROR(GETPIVOTDATA("Full Name",$I$5,"Age range","46-55"),"0")</f>
        <v>1</v>
      </c>
      <c r="P17"/>
      <c r="U17"/>
      <c r="V17" s="6" t="s">
        <v>218</v>
      </c>
      <c r="W17">
        <f>SUM(W12:W16)</f>
        <v>9</v>
      </c>
      <c r="X17"/>
      <c r="Y17" s="6" t="s">
        <v>218</v>
      </c>
      <c r="Z17" s="23">
        <f>AVERAGE(Z12:Z16)</f>
        <v>2.5555555555555554</v>
      </c>
      <c r="AA17"/>
    </row>
    <row r="18" spans="5:27" ht="14.4">
      <c r="E18" s="8" t="s">
        <v>218</v>
      </c>
      <c r="F18" s="16">
        <f>IFERROR(GETPIVOTDATA("Salary",$E$5),"0")</f>
        <v>285725</v>
      </c>
      <c r="G18" s="19">
        <f>SUM(G13:G17)</f>
        <v>36</v>
      </c>
      <c r="H18"/>
      <c r="I18" s="10" t="s">
        <v>68</v>
      </c>
      <c r="J18" s="8">
        <f>IFERROR(GETPIVOTDATA("Full Name",$I$5,"Age range","56 &lt;"),"0")</f>
        <v>2</v>
      </c>
      <c r="N18" s="10"/>
      <c r="P18"/>
      <c r="U18"/>
      <c r="V18"/>
      <c r="W18"/>
      <c r="X18"/>
      <c r="Y18"/>
      <c r="Z18"/>
      <c r="AA18"/>
    </row>
    <row r="19" spans="5:27" ht="14.4">
      <c r="G19"/>
      <c r="H19"/>
      <c r="I19" s="10" t="s">
        <v>218</v>
      </c>
      <c r="J19" s="8">
        <f>SUM(J14:J18)</f>
        <v>9</v>
      </c>
      <c r="P19"/>
      <c r="U19"/>
      <c r="V19"/>
      <c r="W19"/>
      <c r="X19"/>
      <c r="Y19"/>
      <c r="Z19"/>
      <c r="AA19"/>
    </row>
    <row r="20" spans="5:27" ht="14.4">
      <c r="G20"/>
      <c r="H20"/>
      <c r="P20"/>
      <c r="U20"/>
      <c r="V20"/>
      <c r="W20"/>
      <c r="X20"/>
      <c r="Y20"/>
      <c r="Z20"/>
      <c r="AA20"/>
    </row>
    <row r="21" spans="5:27" ht="14.4">
      <c r="G21"/>
      <c r="H21"/>
      <c r="P21"/>
      <c r="U21"/>
      <c r="V21"/>
      <c r="W21"/>
      <c r="X21"/>
      <c r="Y21"/>
      <c r="Z21"/>
      <c r="AA21"/>
    </row>
    <row r="22" spans="5:27" ht="14.4">
      <c r="G22"/>
      <c r="H22"/>
      <c r="I22" s="10" t="s">
        <v>37</v>
      </c>
      <c r="J22" s="8">
        <f>IFERROR(GETPIVOTDATA("Full Name",$I$5,"Gender","Male"),"0")</f>
        <v>5</v>
      </c>
      <c r="K22" s="17">
        <f t="shared" ref="K22:K23" si="2">SUM(J22)/SUM($J$22:$J$23)</f>
        <v>0.55555555555555558</v>
      </c>
      <c r="L22" s="18">
        <f>1-K22</f>
        <v>0.44444444444444442</v>
      </c>
      <c r="P22"/>
      <c r="V22"/>
      <c r="Y22"/>
    </row>
    <row r="23" spans="5:27" ht="14.4">
      <c r="I23" s="10" t="s">
        <v>22</v>
      </c>
      <c r="J23" s="8">
        <f>IFERROR(GETPIVOTDATA("Full Name",$I$5,"Gender","Female"),"0")</f>
        <v>4</v>
      </c>
      <c r="K23" s="17">
        <f t="shared" si="2"/>
        <v>0.44444444444444442</v>
      </c>
      <c r="L23" s="18">
        <f>1-K23</f>
        <v>0.55555555555555558</v>
      </c>
      <c r="V23"/>
      <c r="Y23"/>
    </row>
    <row r="24" spans="5:27" ht="14.4">
      <c r="I24" s="8" t="s">
        <v>218</v>
      </c>
      <c r="J24" s="8">
        <f>SUM(J22:J23)</f>
        <v>9</v>
      </c>
      <c r="V24"/>
      <c r="Y24"/>
    </row>
    <row r="25" spans="5:27" ht="14.4">
      <c r="V25"/>
      <c r="Y25"/>
    </row>
    <row r="26" spans="5:27" ht="14.4">
      <c r="V26"/>
      <c r="Y26"/>
    </row>
    <row r="27" spans="5:27" ht="14.4">
      <c r="V27"/>
      <c r="Y27"/>
    </row>
    <row r="28" spans="5:27" ht="14.4">
      <c r="V28"/>
      <c r="Y28"/>
    </row>
    <row r="29" spans="5:27" ht="14.4">
      <c r="H29" s="20"/>
      <c r="I29" s="20"/>
      <c r="J29" s="21"/>
      <c r="V29"/>
      <c r="Y29"/>
    </row>
    <row r="30" spans="5:27" ht="14.4">
      <c r="V30"/>
      <c r="Y30"/>
    </row>
    <row r="31" spans="5:27" ht="14.4">
      <c r="V31"/>
      <c r="Y31"/>
    </row>
    <row r="32" spans="5:27" ht="14.4">
      <c r="V32"/>
      <c r="Y32"/>
    </row>
    <row r="33" spans="22:25" ht="14.4">
      <c r="V33"/>
      <c r="Y33"/>
    </row>
    <row r="34" spans="22:25" ht="14.4">
      <c r="V34"/>
      <c r="Y34"/>
    </row>
    <row r="35" spans="22:25" ht="14.4">
      <c r="V35"/>
      <c r="Y35"/>
    </row>
    <row r="36" spans="22:25" ht="14.4">
      <c r="V36"/>
      <c r="Y36"/>
    </row>
    <row r="37" spans="22:25" ht="14.4">
      <c r="V37"/>
      <c r="Y37"/>
    </row>
    <row r="38" spans="22:25" ht="14.4">
      <c r="V38"/>
      <c r="Y38"/>
    </row>
    <row r="39" spans="22:25" ht="14.4">
      <c r="V39"/>
      <c r="Y39"/>
    </row>
    <row r="40" spans="22:25" ht="14.4">
      <c r="V40"/>
      <c r="Y40"/>
    </row>
    <row r="41" spans="22:25" ht="14.4">
      <c r="V41"/>
      <c r="Y41"/>
    </row>
    <row r="42" spans="22:25" ht="14.4">
      <c r="V42"/>
      <c r="Y42"/>
    </row>
    <row r="43" spans="22:25" ht="14.4">
      <c r="V43"/>
      <c r="Y43"/>
    </row>
    <row r="44" spans="22:25" ht="14.4">
      <c r="V44"/>
      <c r="Y44"/>
    </row>
    <row r="45" spans="22:25" ht="14.4">
      <c r="V45"/>
      <c r="Y45"/>
    </row>
    <row r="46" spans="22:25" ht="14.4">
      <c r="V46"/>
      <c r="Y46"/>
    </row>
    <row r="47" spans="22:25" ht="14.4">
      <c r="V47"/>
      <c r="Y47"/>
    </row>
    <row r="48" spans="22:25" ht="14.4">
      <c r="V48"/>
      <c r="Y48"/>
    </row>
    <row r="49" spans="22:25" ht="14.4">
      <c r="V49"/>
      <c r="Y49"/>
    </row>
    <row r="50" spans="22:25" ht="14.4">
      <c r="V50"/>
      <c r="Y50"/>
    </row>
    <row r="51" spans="22:25" ht="14.4">
      <c r="V51"/>
      <c r="Y51"/>
    </row>
    <row r="52" spans="22:25" ht="14.4">
      <c r="V52"/>
      <c r="Y52"/>
    </row>
    <row r="53" spans="22:25" ht="14.4">
      <c r="V53"/>
      <c r="Y53"/>
    </row>
    <row r="54" spans="22:25" ht="14.4">
      <c r="V54"/>
      <c r="Y54"/>
    </row>
    <row r="55" spans="22:25" ht="14.4">
      <c r="Y55"/>
    </row>
    <row r="56" spans="22:25" ht="14.4">
      <c r="Y56"/>
    </row>
    <row r="57" spans="22:25" ht="14.4">
      <c r="Y57"/>
    </row>
    <row r="58" spans="22:25" ht="14.4">
      <c r="Y58"/>
    </row>
    <row r="59" spans="22:25" ht="14.4">
      <c r="Y59"/>
    </row>
    <row r="60" spans="22:25" ht="14.4">
      <c r="Y60"/>
    </row>
  </sheetData>
  <mergeCells count="8">
    <mergeCell ref="S3:T3"/>
    <mergeCell ref="H29:I29"/>
    <mergeCell ref="E3:G3"/>
    <mergeCell ref="V3:W3"/>
    <mergeCell ref="Y3:Z3"/>
    <mergeCell ref="B3:C3"/>
    <mergeCell ref="I3:J3"/>
    <mergeCell ref="N3:O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Mann Badaya</cp:lastModifiedBy>
  <dcterms:created xsi:type="dcterms:W3CDTF">2024-12-11T17:14:33Z</dcterms:created>
  <dcterms:modified xsi:type="dcterms:W3CDTF">2025-07-18T08:11:49Z</dcterms:modified>
</cp:coreProperties>
</file>